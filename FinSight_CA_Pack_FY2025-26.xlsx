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Income" sheetId="2" r:id="rId2"/>
    <sheet name="Expenses" sheetId="3" r:id="rId3"/>
    <sheet name="Balance sheet" sheetId="4" r:id="rId4"/>
    <sheet name="Review items" sheetId="5" r:id="rId5"/>
    <sheet name="Ledger" sheetId="6" r:id="rId6"/>
    <sheet name="Quality log" sheetId="7" r:id="rId7"/>
  </sheets>
  <definedNames>
    <definedName name="_xlnm._FilterDatabase" localSheetId="5" hidden="1">Ledger!$A$1:$I$409</definedName>
    <definedName name="_xlnm._FilterDatabase" localSheetId="4" hidden="1">'Review items'!$A$1:$F$69</definedName>
  </definedNames>
  <calcPr calcId="124519" fullCalcOnLoad="1"/>
</workbook>
</file>

<file path=xl/sharedStrings.xml><?xml version="1.0" encoding="utf-8"?>
<sst xmlns="http://schemas.openxmlformats.org/spreadsheetml/2006/main" count="2881" uniqueCount="579">
  <si>
    <t>Month</t>
  </si>
  <si>
    <t>Salary</t>
  </si>
  <si>
    <t>Bonuses</t>
  </si>
  <si>
    <t>Consulting</t>
  </si>
  <si>
    <t>Other</t>
  </si>
  <si>
    <t>Total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</si>
  <si>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</si>
  <si>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</si>
  <si>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</si>
  <si>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</si>
  <si>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</si>
  <si>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</si>
  <si>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</si>
  <si>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</si>
  <si>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</si>
  <si>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</si>
  <si>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</si>
  <si>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</si>
  <si>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Salary credits more than 25% above the fitted base-salary trend are split into base salary (trend) and bonus (excess).</t>
  </si>
  <si>
    <t>Category</t>
  </si>
  <si>
    <t>Amount</t>
  </si>
  <si>
    <t>Transactions</t>
  </si>
  <si>
    <t>Kind</t>
  </si>
  <si>
    <t>Housing</t>
  </si>
  <si>
    <t>Spending</t>
  </si>
  <si>
    <t>Food</t>
  </si>
  <si>
    <t>Shopping</t>
  </si>
  <si>
    <t>Transport</t>
  </si>
  <si>
    <t>Entertainment</t>
  </si>
  <si>
    <t>Travel</t>
  </si>
  <si>
    <t>Utilities</t>
  </si>
  <si>
    <t>Insurance</t>
  </si>
  <si>
    <t>Education</t>
  </si>
  <si>
    <t>Healthcare</t>
  </si>
  <si>
    <t>Personal Care</t>
  </si>
  <si>
    <t>Investments (counted as saving)</t>
  </si>
  <si>
    <t>Saving</t>
  </si>
  <si>
    <t>Debt repayments (EMIs, credit card)</t>
  </si>
  <si>
    <t>Debt</t>
  </si>
  <si>
    <t>Section</t>
  </si>
  <si>
    <t>Item</t>
  </si>
  <si>
    <t>Value / outstanding</t>
  </si>
  <si>
    <t>Interest rate</t>
  </si>
  <si>
    <t>EMI</t>
  </si>
  <si>
    <t>Next due</t>
  </si>
  <si>
    <t>Asset</t>
  </si>
  <si>
    <t>Property</t>
  </si>
  <si>
    <t>Vehicle</t>
  </si>
  <si>
    <t>Mutual Funds</t>
  </si>
  <si>
    <t>Fixed Deposit</t>
  </si>
  <si>
    <t>Equity Portfolio</t>
  </si>
  <si>
    <t>Savings Account</t>
  </si>
  <si>
    <t>Gold</t>
  </si>
  <si>
    <t>Current Account</t>
  </si>
  <si>
    <t>Liability</t>
  </si>
  <si>
    <t>Credit Card</t>
  </si>
  <si>
    <t>Car Loan</t>
  </si>
  <si>
    <t>Home Loan</t>
  </si>
  <si>
    <t>Snapshot as of 2026-10-01</t>
  </si>
  <si>
    <t>txn_id</t>
  </si>
  <si>
    <t>Date</t>
  </si>
  <si>
    <t>Description</t>
  </si>
  <si>
    <t>Note for CA</t>
  </si>
  <si>
    <t>Health insurance premiums</t>
  </si>
  <si>
    <t>T0174</t>
  </si>
  <si>
    <t>Health insurance</t>
  </si>
  <si>
    <t>Possible Sec 80D deduction. Confirm the policy covers self/family/parents and the premium was not paid in cash.</t>
  </si>
  <si>
    <t>T0203</t>
  </si>
  <si>
    <t>T0231</t>
  </si>
  <si>
    <t>T0259</t>
  </si>
  <si>
    <t>T0288</t>
  </si>
  <si>
    <t>T0316</t>
  </si>
  <si>
    <t>T0344</t>
  </si>
  <si>
    <t>T0372</t>
  </si>
  <si>
    <t>T0400</t>
  </si>
  <si>
    <t>T0429</t>
  </si>
  <si>
    <t>T0457</t>
  </si>
  <si>
    <t>T0485</t>
  </si>
  <si>
    <t>Preventive health check-ups</t>
  </si>
  <si>
    <t>T0221</t>
  </si>
  <si>
    <t>Health checkup</t>
  </si>
  <si>
    <t>Related to 80D: preventive check-ups may count within the 80D limit. Confirm with bills.</t>
  </si>
  <si>
    <t>T0249</t>
  </si>
  <si>
    <t>T0503</t>
  </si>
  <si>
    <t>Home loan EMIs</t>
  </si>
  <si>
    <t>T0172</t>
  </si>
  <si>
    <t>Home loan EMI</t>
  </si>
  <si>
    <t>Interest (Sec 24b) vs principal (80C) split needs the lender's interest certificate.</t>
  </si>
  <si>
    <t>T0201</t>
  </si>
  <si>
    <t>T0229</t>
  </si>
  <si>
    <t>T0257</t>
  </si>
  <si>
    <t>T0286</t>
  </si>
  <si>
    <t>T0314</t>
  </si>
  <si>
    <t>T0342</t>
  </si>
  <si>
    <t>T0370</t>
  </si>
  <si>
    <t>T0398</t>
  </si>
  <si>
    <t>T0427</t>
  </si>
  <si>
    <t>T0455</t>
  </si>
  <si>
    <t>T0483</t>
  </si>
  <si>
    <t>Mutual fund SIPs and equity investments</t>
  </si>
  <si>
    <t>T0178</t>
  </si>
  <si>
    <t>Mutual fund SIP</t>
  </si>
  <si>
    <t>Count under 80C only if the scheme is ELSS. Confirm with the fund statements.</t>
  </si>
  <si>
    <t>T0179</t>
  </si>
  <si>
    <t>Equity investment</t>
  </si>
  <si>
    <t>T0207</t>
  </si>
  <si>
    <t>T0208</t>
  </si>
  <si>
    <t>T0235</t>
  </si>
  <si>
    <t>T0236</t>
  </si>
  <si>
    <t>T0263</t>
  </si>
  <si>
    <t>T0264</t>
  </si>
  <si>
    <t>T0292</t>
  </si>
  <si>
    <t>T0293</t>
  </si>
  <si>
    <t>T0320</t>
  </si>
  <si>
    <t>T0321</t>
  </si>
  <si>
    <t>T0348</t>
  </si>
  <si>
    <t>T0349</t>
  </si>
  <si>
    <t>T0376</t>
  </si>
  <si>
    <t>T0377</t>
  </si>
  <si>
    <t>T0404</t>
  </si>
  <si>
    <t>T0405</t>
  </si>
  <si>
    <t>T0433</t>
  </si>
  <si>
    <t>T0434</t>
  </si>
  <si>
    <t>T0461</t>
  </si>
  <si>
    <t>T0462</t>
  </si>
  <si>
    <t>T0489</t>
  </si>
  <si>
    <t>T0490</t>
  </si>
  <si>
    <t>Course fees</t>
  </si>
  <si>
    <t>T0252</t>
  </si>
  <si>
    <t>Course fee</t>
  </si>
  <si>
    <t>Generally qualifies under 80C only if it is tuition for up to two children. Confirm who the course is for.</t>
  </si>
  <si>
    <t>T0309</t>
  </si>
  <si>
    <t>T0337</t>
  </si>
  <si>
    <t>T0421</t>
  </si>
  <si>
    <t>T0478</t>
  </si>
  <si>
    <t>Rent / Home Maintenance</t>
  </si>
  <si>
    <t>T0171</t>
  </si>
  <si>
    <t>Ask: rent (possible HRA/80GG) or maintenance? Relevant because a home loan also exists.</t>
  </si>
  <si>
    <t>T0200</t>
  </si>
  <si>
    <t>T0228</t>
  </si>
  <si>
    <t>T0256</t>
  </si>
  <si>
    <t>T0285</t>
  </si>
  <si>
    <t>T0313</t>
  </si>
  <si>
    <t>T0341</t>
  </si>
  <si>
    <t>T0369</t>
  </si>
  <si>
    <t>T0397</t>
  </si>
  <si>
    <t>T0426</t>
  </si>
  <si>
    <t>T0454</t>
  </si>
  <si>
    <t>T0482</t>
  </si>
  <si>
    <t>Flagged for review only — no tax has been calculated.</t>
  </si>
  <si>
    <t>Cleaned id</t>
  </si>
  <si>
    <t>Type</t>
  </si>
  <si>
    <t>Flags</t>
  </si>
  <si>
    <t>T0703</t>
  </si>
  <si>
    <t>Streaming</t>
  </si>
  <si>
    <t>expense</t>
  </si>
  <si>
    <t>spending</t>
  </si>
  <si>
    <t>T0169</t>
  </si>
  <si>
    <t>Monthly salary</t>
  </si>
  <si>
    <t>income</t>
  </si>
  <si>
    <t>T0187</t>
  </si>
  <si>
    <t>Fuel</t>
  </si>
  <si>
    <t>T0182</t>
  </si>
  <si>
    <t>Groceries</t>
  </si>
  <si>
    <t>T0170</t>
  </si>
  <si>
    <t>Other Income</t>
  </si>
  <si>
    <t>Consulting income</t>
  </si>
  <si>
    <t>T0183</t>
  </si>
  <si>
    <t>Supermarket</t>
  </si>
  <si>
    <t>Debt Payment</t>
  </si>
  <si>
    <t>debt</t>
  </si>
  <si>
    <t>T0173</t>
  </si>
  <si>
    <t>Car loan EMI</t>
  </si>
  <si>
    <t>T0775</t>
  </si>
  <si>
    <t>Gifts</t>
  </si>
  <si>
    <t>T0184</t>
  </si>
  <si>
    <t>T0175</t>
  </si>
  <si>
    <t>Electricity</t>
  </si>
  <si>
    <t>T0727</t>
  </si>
  <si>
    <t>Cab</t>
  </si>
  <si>
    <t>T0176</t>
  </si>
  <si>
    <t>Internet</t>
  </si>
  <si>
    <t>T0177</t>
  </si>
  <si>
    <t>Mobile</t>
  </si>
  <si>
    <t>Investments</t>
  </si>
  <si>
    <t>investment</t>
  </si>
  <si>
    <t>T0679</t>
  </si>
  <si>
    <t>T0196</t>
  </si>
  <si>
    <t>Flight / Hotel booking</t>
  </si>
  <si>
    <t>T0197</t>
  </si>
  <si>
    <t>Credit card payment</t>
  </si>
  <si>
    <t>T0180</t>
  </si>
  <si>
    <t>T0799</t>
  </si>
  <si>
    <t>T0190</t>
  </si>
  <si>
    <t>Movies</t>
  </si>
  <si>
    <t>T0192</t>
  </si>
  <si>
    <t>Doctor consultation</t>
  </si>
  <si>
    <t>T0193</t>
  </si>
  <si>
    <t>Salon</t>
  </si>
  <si>
    <t>T0194</t>
  </si>
  <si>
    <t>Bank charges</t>
  </si>
  <si>
    <t>T0195</t>
  </si>
  <si>
    <t>Books</t>
  </si>
  <si>
    <t>T0185</t>
  </si>
  <si>
    <t>Metro</t>
  </si>
  <si>
    <t>T0188</t>
  </si>
  <si>
    <t>Online shopping</t>
  </si>
  <si>
    <t>T0191</t>
  </si>
  <si>
    <t>T0751</t>
  </si>
  <si>
    <t>Miscellaneous</t>
  </si>
  <si>
    <t>T0189</t>
  </si>
  <si>
    <t>Clothing</t>
  </si>
  <si>
    <t>T0186</t>
  </si>
  <si>
    <t>T0181</t>
  </si>
  <si>
    <t>Dining out</t>
  </si>
  <si>
    <t>T0198</t>
  </si>
  <si>
    <t>T0752</t>
  </si>
  <si>
    <t>T0223</t>
  </si>
  <si>
    <t>T0222</t>
  </si>
  <si>
    <t>T0224</t>
  </si>
  <si>
    <t>T0214</t>
  </si>
  <si>
    <t>Car maintenance</t>
  </si>
  <si>
    <t>T0219</t>
  </si>
  <si>
    <t>T0199</t>
  </si>
  <si>
    <t>T0209</t>
  </si>
  <si>
    <t>Food delivery</t>
  </si>
  <si>
    <t>T0217</t>
  </si>
  <si>
    <t>T0704</t>
  </si>
  <si>
    <t>T0210</t>
  </si>
  <si>
    <t>T0215</t>
  </si>
  <si>
    <t>T0220</t>
  </si>
  <si>
    <t>Weekend outing</t>
  </si>
  <si>
    <t>T0218</t>
  </si>
  <si>
    <t>T0202</t>
  </si>
  <si>
    <t>category_corrected</t>
  </si>
  <si>
    <t>T0216</t>
  </si>
  <si>
    <t>T0211</t>
  </si>
  <si>
    <t>T0204</t>
  </si>
  <si>
    <t>T0205</t>
  </si>
  <si>
    <t>T0212</t>
  </si>
  <si>
    <t>T0206</t>
  </si>
  <si>
    <t>T0776</t>
  </si>
  <si>
    <t>T0213</t>
  </si>
  <si>
    <t>T0728</t>
  </si>
  <si>
    <t>T0680</t>
  </si>
  <si>
    <t>T0225</t>
  </si>
  <si>
    <t>T0800</t>
  </si>
  <si>
    <t>T0226</t>
  </si>
  <si>
    <t>T0801</t>
  </si>
  <si>
    <t>T0227</t>
  </si>
  <si>
    <t>T0753</t>
  </si>
  <si>
    <t>T0230</t>
  </si>
  <si>
    <t>T0705</t>
  </si>
  <si>
    <t>T0251</t>
  </si>
  <si>
    <t>T0232</t>
  </si>
  <si>
    <t>T0242</t>
  </si>
  <si>
    <t>T0245</t>
  </si>
  <si>
    <t>Electronics</t>
  </si>
  <si>
    <t>T0247</t>
  </si>
  <si>
    <t>T0250</t>
  </si>
  <si>
    <t>Gym</t>
  </si>
  <si>
    <t>T0237</t>
  </si>
  <si>
    <t>T0233</t>
  </si>
  <si>
    <t>T0234</t>
  </si>
  <si>
    <t>T0243</t>
  </si>
  <si>
    <t>T0246</t>
  </si>
  <si>
    <t>T0248</t>
  </si>
  <si>
    <t>T0238</t>
  </si>
  <si>
    <t>T0244</t>
  </si>
  <si>
    <t>T0239</t>
  </si>
  <si>
    <t>T0777</t>
  </si>
  <si>
    <t>T0240</t>
  </si>
  <si>
    <t>T0253</t>
  </si>
  <si>
    <t>T0729</t>
  </si>
  <si>
    <t>T0241</t>
  </si>
  <si>
    <t>T0681</t>
  </si>
  <si>
    <t>T0730</t>
  </si>
  <si>
    <t>T0254</t>
  </si>
  <si>
    <t>T0682</t>
  </si>
  <si>
    <t>T0268</t>
  </si>
  <si>
    <t>T0255</t>
  </si>
  <si>
    <t>T0269</t>
  </si>
  <si>
    <t>T0258</t>
  </si>
  <si>
    <t>T0802</t>
  </si>
  <si>
    <t>T0260</t>
  </si>
  <si>
    <t>T0261</t>
  </si>
  <si>
    <t>T0754</t>
  </si>
  <si>
    <t>T0262</t>
  </si>
  <si>
    <t>T0706</t>
  </si>
  <si>
    <t>T0265</t>
  </si>
  <si>
    <t>T0270</t>
  </si>
  <si>
    <t>T0278</t>
  </si>
  <si>
    <t>Personal care</t>
  </si>
  <si>
    <t>T0273</t>
  </si>
  <si>
    <t>T0279</t>
  </si>
  <si>
    <t>T0275</t>
  </si>
  <si>
    <t>T0280</t>
  </si>
  <si>
    <t>T0281</t>
  </si>
  <si>
    <t>T0271</t>
  </si>
  <si>
    <t>T0276</t>
  </si>
  <si>
    <t>T0282</t>
  </si>
  <si>
    <t>T0274</t>
  </si>
  <si>
    <t>T0266</t>
  </si>
  <si>
    <t>T0267</t>
  </si>
  <si>
    <t>T0272</t>
  </si>
  <si>
    <t>T0778</t>
  </si>
  <si>
    <t>T0283</t>
  </si>
  <si>
    <t>T0779</t>
  </si>
  <si>
    <t>T0305</t>
  </si>
  <si>
    <t>T0303</t>
  </si>
  <si>
    <t>T0284</t>
  </si>
  <si>
    <t>T0295</t>
  </si>
  <si>
    <t>T0300</t>
  </si>
  <si>
    <t>T0731</t>
  </si>
  <si>
    <t>T0301</t>
  </si>
  <si>
    <t>T0296</t>
  </si>
  <si>
    <t>T0287</t>
  </si>
  <si>
    <t>T0683</t>
  </si>
  <si>
    <t>T0297</t>
  </si>
  <si>
    <t>T0289</t>
  </si>
  <si>
    <t>T0290</t>
  </si>
  <si>
    <t>T0291</t>
  </si>
  <si>
    <t>T0298</t>
  </si>
  <si>
    <t>T0803</t>
  </si>
  <si>
    <t>T0755</t>
  </si>
  <si>
    <t>T0707</t>
  </si>
  <si>
    <t>T0310</t>
  </si>
  <si>
    <t>T0299</t>
  </si>
  <si>
    <t>T0302</t>
  </si>
  <si>
    <t>T0294</t>
  </si>
  <si>
    <t>T0304</t>
  </si>
  <si>
    <t>T0306</t>
  </si>
  <si>
    <t>T0307</t>
  </si>
  <si>
    <t>T0308</t>
  </si>
  <si>
    <t>T0311</t>
  </si>
  <si>
    <t>T0312</t>
  </si>
  <si>
    <t>T0780</t>
  </si>
  <si>
    <t>T0315</t>
  </si>
  <si>
    <t>T0336</t>
  </si>
  <si>
    <t>T0335</t>
  </si>
  <si>
    <t>T0334</t>
  </si>
  <si>
    <t>T0332</t>
  </si>
  <si>
    <t>T0330</t>
  </si>
  <si>
    <t>T0327</t>
  </si>
  <si>
    <t>T0322</t>
  </si>
  <si>
    <t>T0732</t>
  </si>
  <si>
    <t>T0331</t>
  </si>
  <si>
    <t>T0317</t>
  </si>
  <si>
    <t>T0333</t>
  </si>
  <si>
    <t>T0328</t>
  </si>
  <si>
    <t>T0323</t>
  </si>
  <si>
    <t>T0318</t>
  </si>
  <si>
    <t>T0319</t>
  </si>
  <si>
    <t>T0684</t>
  </si>
  <si>
    <t>T0329</t>
  </si>
  <si>
    <t>T0324</t>
  </si>
  <si>
    <t>T0325</t>
  </si>
  <si>
    <t>T0804</t>
  </si>
  <si>
    <t>T0326</t>
  </si>
  <si>
    <t>T0338</t>
  </si>
  <si>
    <t>T0756</t>
  </si>
  <si>
    <t>T0708</t>
  </si>
  <si>
    <t>T0757</t>
  </si>
  <si>
    <t>T0339</t>
  </si>
  <si>
    <t>T0709</t>
  </si>
  <si>
    <t>T0354</t>
  </si>
  <si>
    <t>T0340</t>
  </si>
  <si>
    <t>T0343</t>
  </si>
  <si>
    <t>zero_amount</t>
  </si>
  <si>
    <t>T0345</t>
  </si>
  <si>
    <t>T0346</t>
  </si>
  <si>
    <t>T0781</t>
  </si>
  <si>
    <t>T0347</t>
  </si>
  <si>
    <t>T0355</t>
  </si>
  <si>
    <t>T0360</t>
  </si>
  <si>
    <t>T0364</t>
  </si>
  <si>
    <t>T0365</t>
  </si>
  <si>
    <t>T0358</t>
  </si>
  <si>
    <t>T0363</t>
  </si>
  <si>
    <t>T0733</t>
  </si>
  <si>
    <t>T0350</t>
  </si>
  <si>
    <t>T0362</t>
  </si>
  <si>
    <t>Pharmacy</t>
  </si>
  <si>
    <t>T0351</t>
  </si>
  <si>
    <t>T0359</t>
  </si>
  <si>
    <t>T0356</t>
  </si>
  <si>
    <t>T0361</t>
  </si>
  <si>
    <t>T0685</t>
  </si>
  <si>
    <t>T0366</t>
  </si>
  <si>
    <t>T0357</t>
  </si>
  <si>
    <t>T0352</t>
  </si>
  <si>
    <t>T0353</t>
  </si>
  <si>
    <t>T0805</t>
  </si>
  <si>
    <t>T0367</t>
  </si>
  <si>
    <t>T0806</t>
  </si>
  <si>
    <t>T0385</t>
  </si>
  <si>
    <t>T0380</t>
  </si>
  <si>
    <t>T0368</t>
  </si>
  <si>
    <t>T0758</t>
  </si>
  <si>
    <t>T0381</t>
  </si>
  <si>
    <t>T0371</t>
  </si>
  <si>
    <t>T0710</t>
  </si>
  <si>
    <t>T0382</t>
  </si>
  <si>
    <t>T0373</t>
  </si>
  <si>
    <t>T0374</t>
  </si>
  <si>
    <t>T0375</t>
  </si>
  <si>
    <t>T0782</t>
  </si>
  <si>
    <t>T0734</t>
  </si>
  <si>
    <t>T0394</t>
  </si>
  <si>
    <t>T0383</t>
  </si>
  <si>
    <t>T0390</t>
  </si>
  <si>
    <t>T0391</t>
  </si>
  <si>
    <t>T0392</t>
  </si>
  <si>
    <t>T0393</t>
  </si>
  <si>
    <t>Training</t>
  </si>
  <si>
    <t>T0378</t>
  </si>
  <si>
    <t>T0388</t>
  </si>
  <si>
    <t>T0386</t>
  </si>
  <si>
    <t>T0686</t>
  </si>
  <si>
    <t>T0387</t>
  </si>
  <si>
    <t>T0389</t>
  </si>
  <si>
    <t>T0384</t>
  </si>
  <si>
    <t>T0379</t>
  </si>
  <si>
    <t>T0687</t>
  </si>
  <si>
    <t>T0395</t>
  </si>
  <si>
    <t>T0396</t>
  </si>
  <si>
    <t>T0414</t>
  </si>
  <si>
    <t>T0416</t>
  </si>
  <si>
    <t>T0418</t>
  </si>
  <si>
    <t>T0419</t>
  </si>
  <si>
    <t>T0420</t>
  </si>
  <si>
    <t>T0406</t>
  </si>
  <si>
    <t>T0807</t>
  </si>
  <si>
    <t>T0399</t>
  </si>
  <si>
    <t>T0415</t>
  </si>
  <si>
    <t>T0407</t>
  </si>
  <si>
    <t>T0417</t>
  </si>
  <si>
    <t>T0412</t>
  </si>
  <si>
    <t>T0759</t>
  </si>
  <si>
    <t>T0413</t>
  </si>
  <si>
    <t>T0401</t>
  </si>
  <si>
    <t>T0408</t>
  </si>
  <si>
    <t>T0402</t>
  </si>
  <si>
    <t>T0711</t>
  </si>
  <si>
    <t>T0403</t>
  </si>
  <si>
    <t>T0409</t>
  </si>
  <si>
    <t>T0410</t>
  </si>
  <si>
    <t>T0422</t>
  </si>
  <si>
    <t>T0423</t>
  </si>
  <si>
    <t>T0783</t>
  </si>
  <si>
    <t>T0735</t>
  </si>
  <si>
    <t>T0784</t>
  </si>
  <si>
    <t>T0424</t>
  </si>
  <si>
    <t>T0736</t>
  </si>
  <si>
    <t>T0425</t>
  </si>
  <si>
    <t>T0688</t>
  </si>
  <si>
    <t>T0428</t>
  </si>
  <si>
    <t>T0430</t>
  </si>
  <si>
    <t>T0448</t>
  </si>
  <si>
    <t>T0440</t>
  </si>
  <si>
    <t>T0450</t>
  </si>
  <si>
    <t>T0443</t>
  </si>
  <si>
    <t>T0449</t>
  </si>
  <si>
    <t>T0435</t>
  </si>
  <si>
    <t>T0447</t>
  </si>
  <si>
    <t>T0445</t>
  </si>
  <si>
    <t>T0808</t>
  </si>
  <si>
    <t>T0431</t>
  </si>
  <si>
    <t>T0432</t>
  </si>
  <si>
    <t>T0436</t>
  </si>
  <si>
    <t>T0446</t>
  </si>
  <si>
    <t>T0760</t>
  </si>
  <si>
    <t>T0444</t>
  </si>
  <si>
    <t>T0441</t>
  </si>
  <si>
    <t>T0442</t>
  </si>
  <si>
    <t>T0712</t>
  </si>
  <si>
    <t>T0437</t>
  </si>
  <si>
    <t>T0438</t>
  </si>
  <si>
    <t>T0451</t>
  </si>
  <si>
    <t>T0439</t>
  </si>
  <si>
    <t>T0452</t>
  </si>
  <si>
    <t>T0466</t>
  </si>
  <si>
    <t>T0453</t>
  </si>
  <si>
    <t>T0785</t>
  </si>
  <si>
    <t>T0456</t>
  </si>
  <si>
    <t>T0467</t>
  </si>
  <si>
    <t>T0737</t>
  </si>
  <si>
    <t>T0689</t>
  </si>
  <si>
    <t>T0458</t>
  </si>
  <si>
    <t>T0459</t>
  </si>
  <si>
    <t>T0460</t>
  </si>
  <si>
    <t>T0809</t>
  </si>
  <si>
    <t>T0471</t>
  </si>
  <si>
    <t>T0477</t>
  </si>
  <si>
    <t>T0476</t>
  </si>
  <si>
    <t>T0475</t>
  </si>
  <si>
    <t>T0473</t>
  </si>
  <si>
    <t>T0468</t>
  </si>
  <si>
    <t>T0463</t>
  </si>
  <si>
    <t>T0760-B</t>
  </si>
  <si>
    <t>T0479</t>
  </si>
  <si>
    <t>T0474</t>
  </si>
  <si>
    <t>T0464</t>
  </si>
  <si>
    <t>T0469</t>
  </si>
  <si>
    <t>T0472</t>
  </si>
  <si>
    <t>T0713</t>
  </si>
  <si>
    <t>T0465</t>
  </si>
  <si>
    <t>T0470</t>
  </si>
  <si>
    <t>T0480</t>
  </si>
  <si>
    <t>T0714</t>
  </si>
  <si>
    <t>T0481</t>
  </si>
  <si>
    <t>T0497</t>
  </si>
  <si>
    <t>T0502</t>
  </si>
  <si>
    <t>T0492</t>
  </si>
  <si>
    <t>T0500</t>
  </si>
  <si>
    <t>T0484</t>
  </si>
  <si>
    <t>T0498</t>
  </si>
  <si>
    <t>T0493</t>
  </si>
  <si>
    <t>T0786</t>
  </si>
  <si>
    <t>T0486</t>
  </si>
  <si>
    <t>T0494</t>
  </si>
  <si>
    <t>T0487</t>
  </si>
  <si>
    <t>T0738</t>
  </si>
  <si>
    <t>T0495</t>
  </si>
  <si>
    <t>T0690</t>
  </si>
  <si>
    <t>T0507</t>
  </si>
  <si>
    <t>T0810</t>
  </si>
  <si>
    <t>T0762</t>
  </si>
  <si>
    <t>T0501</t>
  </si>
  <si>
    <t>T0504</t>
  </si>
  <si>
    <t>T0505</t>
  </si>
  <si>
    <t>T0499</t>
  </si>
  <si>
    <t>T0506</t>
  </si>
  <si>
    <t>T0491</t>
  </si>
  <si>
    <t>T0496</t>
  </si>
  <si>
    <t>Issue</t>
  </si>
  <si>
    <t>Severity</t>
  </si>
  <si>
    <t>Decision</t>
  </si>
  <si>
    <t>Reason / detail</t>
  </si>
  <si>
    <t>Excluded</t>
  </si>
  <si>
    <t>Exact duplicate row</t>
  </si>
  <si>
    <t>medium</t>
  </si>
  <si>
    <t>Removed</t>
  </si>
  <si>
    <t>Food delivery 5007.03 on 2025-12-18</t>
  </si>
  <si>
    <t>No</t>
  </si>
  <si>
    <t>Duplicate transaction ID (different transactions)</t>
  </si>
  <si>
    <t>Re-keyed as T0760-B</t>
  </si>
  <si>
    <t>Category does not match description</t>
  </si>
  <si>
    <t>Corrected 'Foods' -&gt; 'Debt Payment'</t>
  </si>
  <si>
    <t>Zero-value payment</t>
  </si>
  <si>
    <t>Kept; flagged as possible missed payment</t>
  </si>
  <si>
    <t>Car loan EMI on 2025-10-08</t>
  </si>
  <si>
    <t>T0488</t>
  </si>
  <si>
    <t>Extreme outlier (likely data-entry error)</t>
  </si>
  <si>
    <t>high</t>
  </si>
  <si>
    <t>Excluded from core metrics (shown in anomalies)</t>
  </si>
  <si>
    <t>Mobile ₹185,000 vs typical ₹900 (206x)</t>
  </si>
  <si>
    <t>Yes</t>
  </si>
  <si>
    <t>Tax / CA Review Pack</t>
  </si>
  <si>
    <t>Financial year</t>
  </si>
  <si>
    <t>FY 2025-26</t>
  </si>
  <si>
    <t>Data covered</t>
  </si>
  <si>
    <t>Apr 2025 – Mar 2026</t>
  </si>
  <si>
    <t>Report ID</t>
  </si>
  <si>
    <t>2E055FD328</t>
  </si>
  <si>
    <t>Generated</t>
  </si>
  <si>
    <t>05 Oct 2026, 14:02 India Standard Time</t>
  </si>
  <si>
    <t>Metric</t>
  </si>
  <si>
    <t>Salary income</t>
  </si>
  <si>
    <t>Other income</t>
  </si>
  <si>
    <t>Total income</t>
  </si>
  <si>
    <t>Spending (excl. investments and debt)</t>
  </si>
  <si>
    <t>Debt repayments</t>
  </si>
  <si>
    <t>Savings rate</t>
  </si>
  <si>
    <t>Total flagged for CA review</t>
  </si>
  <si>
    <t>Total assets</t>
  </si>
  <si>
    <t>Total liabilities</t>
  </si>
  <si>
    <t>Net worth</t>
  </si>
  <si>
    <t>Summary of transaction data for review by a qualified professional. Not tax advice.</t>
  </si>
</sst>
</file>

<file path=xl/styles.xml><?xml version="1.0" encoding="utf-8"?>
<styleSheet xmlns="http://schemas.openxmlformats.org/spreadsheetml/2006/main">
  <numFmts count="3">
    <numFmt numFmtId="164" formatCode="[&gt;=10000000]&quot;₹&quot;#\,##\,##\,##0.00;[&gt;=100000]&quot;₹&quot;#\,##\,##0.00;&quot;₹&quot;#,##0.00"/>
    <numFmt numFmtId="165" formatCode="0.0%"/>
    <numFmt numFmtId="166" formatCode="dd-mmm-yyyy"/>
  </numFmts>
  <fonts count="4">
    <font>
      <sz val="11"/>
      <color theme="1"/>
      <name val="Calibri"/>
      <family val="2"/>
      <scheme val="minor"/>
    </font>
    <font>
      <b/>
      <sz val="14"/>
      <color rgb="FF2563A8"/>
      <name val="Calibri"/>
      <family val="2"/>
      <scheme val="minor"/>
    </font>
    <font>
      <i/>
      <sz val="11"/>
      <color rgb="FF6B728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EF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164" fontId="0" fillId="0" borderId="0" xfId="0" applyNumberFormat="1"/>
    <xf numFmtId="0" fontId="3" fillId="0" borderId="0" xfId="0" applyFont="1"/>
    <xf numFmtId="164" fontId="3" fillId="0" borderId="2" xfId="0" applyNumberFormat="1" applyFont="1" applyBorder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>
      <pane ySplit="7" topLeftCell="A8" activePane="bottomLeft" state="frozen"/>
      <selection pane="bottomLeft"/>
    </sheetView>
  </sheetViews>
  <sheetFormatPr defaultRowHeight="15"/>
  <cols>
    <col min="1" max="1" width="42.7109375" customWidth="1"/>
    <col min="2" max="2" width="20.7109375" customWidth="1"/>
  </cols>
  <sheetData>
    <row r="1" spans="1:2">
      <c r="A1" s="1" t="s">
        <v>558</v>
      </c>
    </row>
    <row r="2" spans="1:2">
      <c r="A2" s="2" t="s">
        <v>559</v>
      </c>
      <c r="B2" t="s">
        <v>560</v>
      </c>
    </row>
    <row r="3" spans="1:2">
      <c r="A3" s="2" t="s">
        <v>561</v>
      </c>
      <c r="B3" t="s">
        <v>562</v>
      </c>
    </row>
    <row r="4" spans="1:2">
      <c r="A4" s="2" t="s">
        <v>563</v>
      </c>
      <c r="B4" t="s">
        <v>564</v>
      </c>
    </row>
    <row r="5" spans="1:2">
      <c r="A5" s="2" t="s">
        <v>565</v>
      </c>
      <c r="B5" t="s">
        <v>566</v>
      </c>
    </row>
    <row r="7" spans="1:2">
      <c r="A7" s="3" t="s">
        <v>567</v>
      </c>
      <c r="B7" s="3" t="s">
        <v>20</v>
      </c>
    </row>
    <row r="8" spans="1:2">
      <c r="A8" t="s">
        <v>568</v>
      </c>
      <c r="B8" s="4">
        <f>SUM(Income!B2:B13)</f>
        <v>2667000</v>
      </c>
    </row>
    <row r="9" spans="1:2">
      <c r="A9" t="s">
        <v>2</v>
      </c>
      <c r="B9" s="4">
        <f>SUM(Income!C2:C13)</f>
        <v>180000</v>
      </c>
    </row>
    <row r="10" spans="1:2">
      <c r="A10" t="s">
        <v>166</v>
      </c>
      <c r="B10" s="4">
        <f>SUM(Income!D2:D13)</f>
        <v>261000</v>
      </c>
    </row>
    <row r="11" spans="1:2">
      <c r="A11" t="s">
        <v>569</v>
      </c>
      <c r="B11" s="4">
        <f>SUM(Income!E2:E13)</f>
        <v>0</v>
      </c>
    </row>
    <row r="12" spans="1:2">
      <c r="A12" s="5" t="s">
        <v>570</v>
      </c>
      <c r="B12" s="6">
        <f>SUM(B8:B11)</f>
        <v>3108000</v>
      </c>
    </row>
    <row r="13" spans="1:2">
      <c r="A13" t="s">
        <v>571</v>
      </c>
      <c r="B13" s="4">
        <f>SUMIF(Expenses!D2:D15,"Spending",Expenses!B2:B15)</f>
        <v>1370112</v>
      </c>
    </row>
    <row r="14" spans="1:2">
      <c r="A14" t="s">
        <v>35</v>
      </c>
      <c r="B14" s="4">
        <f>SUMIF(Expenses!D2:D15,"Saving",Expenses!B2:B15)</f>
        <v>380000</v>
      </c>
    </row>
    <row r="15" spans="1:2">
      <c r="A15" t="s">
        <v>572</v>
      </c>
      <c r="B15" s="4">
        <f>SUMIF(Expenses!D2:D15,"Debt",Expenses!B2:B15)</f>
        <v>556232</v>
      </c>
    </row>
    <row r="16" spans="1:2">
      <c r="A16" t="s">
        <v>573</v>
      </c>
      <c r="B16" s="7">
        <f>IF(B12=0,0,(B12-B13-B15)/B12)</f>
        <v>0.3801981981981982</v>
      </c>
    </row>
    <row r="17" spans="1:2">
      <c r="A17" t="s">
        <v>574</v>
      </c>
      <c r="B17" s="4">
        <f>SUM('Review items'!E2:E69)</f>
        <v>1202147.08</v>
      </c>
    </row>
    <row r="18" spans="1:2">
      <c r="A18" t="s">
        <v>575</v>
      </c>
      <c r="B18" s="4">
        <f>SUMIF('Balance sheet'!A2:A12,"Asset",'Balance sheet'!C2:C12)</f>
        <v>7025000</v>
      </c>
    </row>
    <row r="19" spans="1:2">
      <c r="A19" t="s">
        <v>576</v>
      </c>
      <c r="B19" s="4">
        <f>SUMIF('Balance sheet'!A2:A12,"Liability",'Balance sheet'!C2:C12)</f>
        <v>3338000</v>
      </c>
    </row>
    <row r="20" spans="1:2">
      <c r="A20" s="5" t="s">
        <v>577</v>
      </c>
      <c r="B20" s="6">
        <f>B18-B19</f>
        <v>3687000</v>
      </c>
    </row>
    <row r="22" spans="1:2">
      <c r="A22" s="2" t="s">
        <v>578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16.7109375" customWidth="1"/>
    <col min="5" max="5" width="14.7109375" customWidth="1"/>
    <col min="6" max="6" width="16.710937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t="s">
        <v>6</v>
      </c>
      <c r="B2" s="4">
        <v>214000</v>
      </c>
      <c r="C2" s="4">
        <v>0</v>
      </c>
      <c r="D2" s="4">
        <v>23000</v>
      </c>
      <c r="E2" s="4">
        <v>0</v>
      </c>
      <c r="F2" s="4">
        <f>SUM(B2:E2)</f>
        <v>237000</v>
      </c>
    </row>
    <row r="3" spans="1:6">
      <c r="A3" t="s">
        <v>7</v>
      </c>
      <c r="B3" s="4">
        <v>215500</v>
      </c>
      <c r="C3" s="4">
        <v>0</v>
      </c>
      <c r="D3" s="4">
        <v>25500</v>
      </c>
      <c r="E3" s="4">
        <v>0</v>
      </c>
      <c r="F3" s="4">
        <f>SUM(B3:E3)</f>
        <v>241000</v>
      </c>
    </row>
    <row r="4" spans="1:6">
      <c r="A4" t="s">
        <v>8</v>
      </c>
      <c r="B4" s="4">
        <v>217000</v>
      </c>
      <c r="C4" s="4">
        <v>0</v>
      </c>
      <c r="D4" s="4">
        <v>18000</v>
      </c>
      <c r="E4" s="4">
        <v>0</v>
      </c>
      <c r="F4" s="4">
        <f>SUM(B4:E4)</f>
        <v>235000</v>
      </c>
    </row>
    <row r="5" spans="1:6">
      <c r="A5" t="s">
        <v>9</v>
      </c>
      <c r="B5" s="4">
        <v>218500</v>
      </c>
      <c r="C5" s="4">
        <v>0</v>
      </c>
      <c r="D5" s="4">
        <v>20500</v>
      </c>
      <c r="E5" s="4">
        <v>0</v>
      </c>
      <c r="F5" s="4">
        <f>SUM(B5:E5)</f>
        <v>239000</v>
      </c>
    </row>
    <row r="6" spans="1:6">
      <c r="A6" t="s">
        <v>10</v>
      </c>
      <c r="B6" s="4">
        <v>220000</v>
      </c>
      <c r="C6" s="4">
        <v>0</v>
      </c>
      <c r="D6" s="4">
        <v>23000</v>
      </c>
      <c r="E6" s="4">
        <v>0</v>
      </c>
      <c r="F6" s="4">
        <f>SUM(B6:E6)</f>
        <v>243000</v>
      </c>
    </row>
    <row r="7" spans="1:6">
      <c r="A7" t="s">
        <v>11</v>
      </c>
      <c r="B7" s="4">
        <v>221500</v>
      </c>
      <c r="C7" s="4">
        <v>90000</v>
      </c>
      <c r="D7" s="4">
        <v>25500</v>
      </c>
      <c r="E7" s="4">
        <v>0</v>
      </c>
      <c r="F7" s="4">
        <f>SUM(B7:E7)</f>
        <v>337000</v>
      </c>
    </row>
    <row r="8" spans="1:6">
      <c r="A8" t="s">
        <v>12</v>
      </c>
      <c r="B8" s="4">
        <v>223000</v>
      </c>
      <c r="C8" s="4">
        <v>0</v>
      </c>
      <c r="D8" s="4">
        <v>18000</v>
      </c>
      <c r="E8" s="4">
        <v>0</v>
      </c>
      <c r="F8" s="4">
        <f>SUM(B8:E8)</f>
        <v>241000</v>
      </c>
    </row>
    <row r="9" spans="1:6">
      <c r="A9" t="s">
        <v>13</v>
      </c>
      <c r="B9" s="4">
        <v>224500</v>
      </c>
      <c r="C9" s="4">
        <v>0</v>
      </c>
      <c r="D9" s="4">
        <v>20500</v>
      </c>
      <c r="E9" s="4">
        <v>0</v>
      </c>
      <c r="F9" s="4">
        <f>SUM(B9:E9)</f>
        <v>245000</v>
      </c>
    </row>
    <row r="10" spans="1:6">
      <c r="A10" t="s">
        <v>14</v>
      </c>
      <c r="B10" s="4">
        <v>226000</v>
      </c>
      <c r="C10" s="4">
        <v>0</v>
      </c>
      <c r="D10" s="4">
        <v>23000</v>
      </c>
      <c r="E10" s="4">
        <v>0</v>
      </c>
      <c r="F10" s="4">
        <f>SUM(B10:E10)</f>
        <v>249000</v>
      </c>
    </row>
    <row r="11" spans="1:6">
      <c r="A11" t="s">
        <v>15</v>
      </c>
      <c r="B11" s="4">
        <v>227500</v>
      </c>
      <c r="C11" s="4">
        <v>0</v>
      </c>
      <c r="D11" s="4">
        <v>25500</v>
      </c>
      <c r="E11" s="4">
        <v>0</v>
      </c>
      <c r="F11" s="4">
        <f>SUM(B11:E11)</f>
        <v>253000</v>
      </c>
    </row>
    <row r="12" spans="1:6">
      <c r="A12" t="s">
        <v>16</v>
      </c>
      <c r="B12" s="4">
        <v>229000</v>
      </c>
      <c r="C12" s="4">
        <v>0</v>
      </c>
      <c r="D12" s="4">
        <v>18000</v>
      </c>
      <c r="E12" s="4">
        <v>0</v>
      </c>
      <c r="F12" s="4">
        <f>SUM(B12:E12)</f>
        <v>247000</v>
      </c>
    </row>
    <row r="13" spans="1:6">
      <c r="A13" t="s">
        <v>17</v>
      </c>
      <c r="B13" s="4">
        <v>230500</v>
      </c>
      <c r="C13" s="4">
        <v>90000</v>
      </c>
      <c r="D13" s="4">
        <v>20500</v>
      </c>
      <c r="E13" s="4">
        <v>0</v>
      </c>
      <c r="F13" s="4">
        <f>SUM(B13:E13)</f>
        <v>341000</v>
      </c>
    </row>
    <row r="14" spans="1:6">
      <c r="A14" s="5" t="s">
        <v>5</v>
      </c>
      <c r="B14" s="6">
        <f>SUM(B2:B13)</f>
        <v>2667000</v>
      </c>
      <c r="C14" s="6">
        <f>SUM(C2:C13)</f>
        <v>180000</v>
      </c>
      <c r="D14" s="6">
        <f>SUM(D2:D13)</f>
        <v>261000</v>
      </c>
      <c r="E14" s="6">
        <f>SUM(E2:E13)</f>
        <v>0</v>
      </c>
      <c r="F14" s="6">
        <f>SUM(F2:F13)</f>
        <v>3108000</v>
      </c>
    </row>
    <row r="16" spans="1:6">
      <c r="A16" s="2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6.7109375" customWidth="1"/>
    <col min="3" max="3" width="13.7109375" customWidth="1"/>
    <col min="4" max="4" width="10.7109375" customWidth="1"/>
  </cols>
  <sheetData>
    <row r="1" spans="1:4">
      <c r="A1" s="3" t="s">
        <v>19</v>
      </c>
      <c r="B1" s="3" t="s">
        <v>20</v>
      </c>
      <c r="C1" s="3" t="s">
        <v>21</v>
      </c>
      <c r="D1" s="3" t="s">
        <v>22</v>
      </c>
    </row>
    <row r="2" spans="1:4">
      <c r="A2" t="s">
        <v>23</v>
      </c>
      <c r="B2" s="4">
        <v>384000</v>
      </c>
      <c r="C2">
        <v>12</v>
      </c>
      <c r="D2" t="s">
        <v>24</v>
      </c>
    </row>
    <row r="3" spans="1:4">
      <c r="A3" t="s">
        <v>25</v>
      </c>
      <c r="B3" s="4">
        <v>277488</v>
      </c>
      <c r="C3">
        <v>73</v>
      </c>
      <c r="D3" t="s">
        <v>24</v>
      </c>
    </row>
    <row r="4" spans="1:4">
      <c r="A4" t="s">
        <v>26</v>
      </c>
      <c r="B4" s="4">
        <v>139840</v>
      </c>
      <c r="C4">
        <v>24</v>
      </c>
      <c r="D4" t="s">
        <v>24</v>
      </c>
    </row>
    <row r="5" spans="1:4">
      <c r="A5" t="s">
        <v>27</v>
      </c>
      <c r="B5" s="4">
        <v>106126</v>
      </c>
      <c r="C5">
        <v>54</v>
      </c>
      <c r="D5" t="s">
        <v>24</v>
      </c>
    </row>
    <row r="6" spans="1:4">
      <c r="A6" t="s">
        <v>28</v>
      </c>
      <c r="B6" s="4">
        <v>82635</v>
      </c>
      <c r="C6">
        <v>47</v>
      </c>
      <c r="D6" t="s">
        <v>24</v>
      </c>
    </row>
    <row r="7" spans="1:4">
      <c r="A7" t="s">
        <v>29</v>
      </c>
      <c r="B7" s="4">
        <v>79823</v>
      </c>
      <c r="C7">
        <v>3</v>
      </c>
      <c r="D7" t="s">
        <v>24</v>
      </c>
    </row>
    <row r="8" spans="1:4">
      <c r="A8" t="s">
        <v>30</v>
      </c>
      <c r="B8" s="4">
        <v>68450</v>
      </c>
      <c r="C8">
        <v>35</v>
      </c>
      <c r="D8" t="s">
        <v>24</v>
      </c>
    </row>
    <row r="9" spans="1:4">
      <c r="A9" t="s">
        <v>31</v>
      </c>
      <c r="B9" s="4">
        <v>66000</v>
      </c>
      <c r="C9">
        <v>12</v>
      </c>
      <c r="D9" t="s">
        <v>24</v>
      </c>
    </row>
    <row r="10" spans="1:4">
      <c r="A10" t="s">
        <v>4</v>
      </c>
      <c r="B10" s="4">
        <v>52216</v>
      </c>
      <c r="C10">
        <v>29</v>
      </c>
      <c r="D10" t="s">
        <v>24</v>
      </c>
    </row>
    <row r="11" spans="1:4">
      <c r="A11" t="s">
        <v>32</v>
      </c>
      <c r="B11" s="4">
        <v>50310</v>
      </c>
      <c r="C11">
        <v>12</v>
      </c>
      <c r="D11" t="s">
        <v>24</v>
      </c>
    </row>
    <row r="12" spans="1:4">
      <c r="A12" t="s">
        <v>33</v>
      </c>
      <c r="B12" s="4">
        <v>41283</v>
      </c>
      <c r="C12">
        <v>11</v>
      </c>
      <c r="D12" t="s">
        <v>24</v>
      </c>
    </row>
    <row r="13" spans="1:4">
      <c r="A13" t="s">
        <v>34</v>
      </c>
      <c r="B13" s="4">
        <v>21941</v>
      </c>
      <c r="C13">
        <v>12</v>
      </c>
      <c r="D13" t="s">
        <v>24</v>
      </c>
    </row>
    <row r="14" spans="1:4">
      <c r="A14" t="s">
        <v>35</v>
      </c>
      <c r="B14" s="4">
        <v>380000</v>
      </c>
      <c r="D14" t="s">
        <v>36</v>
      </c>
    </row>
    <row r="15" spans="1:4">
      <c r="A15" t="s">
        <v>37</v>
      </c>
      <c r="B15" s="4">
        <v>556232</v>
      </c>
      <c r="D15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20.7109375" customWidth="1"/>
    <col min="3" max="3" width="19.7109375" customWidth="1"/>
    <col min="4" max="4" width="13.7109375" customWidth="1"/>
    <col min="5" max="5" width="14.7109375" customWidth="1"/>
    <col min="6" max="6" width="13.7109375" customWidth="1"/>
  </cols>
  <sheetData>
    <row r="1" spans="1:6">
      <c r="A1" s="3" t="s">
        <v>39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44</v>
      </c>
    </row>
    <row r="2" spans="1:6">
      <c r="A2" t="s">
        <v>45</v>
      </c>
      <c r="B2" t="s">
        <v>46</v>
      </c>
      <c r="C2" s="4">
        <v>4200000</v>
      </c>
    </row>
    <row r="3" spans="1:6">
      <c r="A3" t="s">
        <v>45</v>
      </c>
      <c r="B3" t="s">
        <v>47</v>
      </c>
      <c r="C3" s="4">
        <v>650000</v>
      </c>
    </row>
    <row r="4" spans="1:6">
      <c r="A4" t="s">
        <v>45</v>
      </c>
      <c r="B4" t="s">
        <v>48</v>
      </c>
      <c r="C4" s="4">
        <v>625000</v>
      </c>
    </row>
    <row r="5" spans="1:6">
      <c r="A5" t="s">
        <v>45</v>
      </c>
      <c r="B5" t="s">
        <v>49</v>
      </c>
      <c r="C5" s="4">
        <v>450000</v>
      </c>
    </row>
    <row r="6" spans="1:6">
      <c r="A6" t="s">
        <v>45</v>
      </c>
      <c r="B6" t="s">
        <v>50</v>
      </c>
      <c r="C6" s="4">
        <v>410000</v>
      </c>
    </row>
    <row r="7" spans="1:6">
      <c r="A7" t="s">
        <v>45</v>
      </c>
      <c r="B7" t="s">
        <v>51</v>
      </c>
      <c r="C7" s="4">
        <v>325000</v>
      </c>
    </row>
    <row r="8" spans="1:6">
      <c r="A8" t="s">
        <v>45</v>
      </c>
      <c r="B8" t="s">
        <v>52</v>
      </c>
      <c r="C8" s="4">
        <v>280000</v>
      </c>
    </row>
    <row r="9" spans="1:6">
      <c r="A9" t="s">
        <v>45</v>
      </c>
      <c r="B9" t="s">
        <v>53</v>
      </c>
      <c r="C9" s="4">
        <v>85000</v>
      </c>
    </row>
    <row r="10" spans="1:6">
      <c r="A10" t="s">
        <v>54</v>
      </c>
      <c r="B10" t="s">
        <v>55</v>
      </c>
      <c r="C10" s="4">
        <v>68000</v>
      </c>
      <c r="D10" s="7">
        <v>0.32</v>
      </c>
      <c r="E10" s="4">
        <v>7000</v>
      </c>
      <c r="F10" s="8">
        <v>46300</v>
      </c>
    </row>
    <row r="11" spans="1:6">
      <c r="A11" t="s">
        <v>54</v>
      </c>
      <c r="B11" t="s">
        <v>56</v>
      </c>
      <c r="C11" s="4">
        <v>420000</v>
      </c>
      <c r="D11" s="7">
        <v>0.091</v>
      </c>
      <c r="E11" s="4">
        <v>11200</v>
      </c>
      <c r="F11" s="8">
        <v>46302</v>
      </c>
    </row>
    <row r="12" spans="1:6">
      <c r="A12" t="s">
        <v>54</v>
      </c>
      <c r="B12" t="s">
        <v>57</v>
      </c>
      <c r="C12" s="4">
        <v>2850000</v>
      </c>
      <c r="D12" s="7">
        <v>0.08349999999999999</v>
      </c>
      <c r="E12" s="4">
        <v>28500</v>
      </c>
      <c r="F12" s="8">
        <v>46305</v>
      </c>
    </row>
    <row r="14" spans="1:6">
      <c r="A14" s="2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1.7109375" customWidth="1"/>
    <col min="3" max="3" width="13.7109375" customWidth="1"/>
    <col min="4" max="4" width="26.7109375" customWidth="1"/>
    <col min="5" max="5" width="15.7109375" customWidth="1"/>
    <col min="6" max="6" width="80.7109375" customWidth="1"/>
  </cols>
  <sheetData>
    <row r="1" spans="1:6">
      <c r="A1" s="3" t="s">
        <v>40</v>
      </c>
      <c r="B1" s="3" t="s">
        <v>59</v>
      </c>
      <c r="C1" s="3" t="s">
        <v>60</v>
      </c>
      <c r="D1" s="3" t="s">
        <v>61</v>
      </c>
      <c r="E1" s="3" t="s">
        <v>20</v>
      </c>
      <c r="F1" s="3" t="s">
        <v>62</v>
      </c>
    </row>
    <row r="2" spans="1:6">
      <c r="A2" t="s">
        <v>63</v>
      </c>
      <c r="B2" t="s">
        <v>64</v>
      </c>
      <c r="C2" s="8">
        <v>45757</v>
      </c>
      <c r="D2" t="s">
        <v>65</v>
      </c>
      <c r="E2" s="4">
        <v>5500</v>
      </c>
      <c r="F2" t="s">
        <v>66</v>
      </c>
    </row>
    <row r="3" spans="1:6">
      <c r="A3" t="s">
        <v>63</v>
      </c>
      <c r="B3" t="s">
        <v>67</v>
      </c>
      <c r="C3" s="8">
        <v>45787</v>
      </c>
      <c r="D3" t="s">
        <v>65</v>
      </c>
      <c r="E3" s="4">
        <v>5500</v>
      </c>
      <c r="F3" t="s">
        <v>66</v>
      </c>
    </row>
    <row r="4" spans="1:6">
      <c r="A4" t="s">
        <v>63</v>
      </c>
      <c r="B4" t="s">
        <v>68</v>
      </c>
      <c r="C4" s="8">
        <v>45818</v>
      </c>
      <c r="D4" t="s">
        <v>65</v>
      </c>
      <c r="E4" s="4">
        <v>5500</v>
      </c>
      <c r="F4" t="s">
        <v>66</v>
      </c>
    </row>
    <row r="5" spans="1:6">
      <c r="A5" t="s">
        <v>63</v>
      </c>
      <c r="B5" t="s">
        <v>69</v>
      </c>
      <c r="C5" s="8">
        <v>45848</v>
      </c>
      <c r="D5" t="s">
        <v>65</v>
      </c>
      <c r="E5" s="4">
        <v>5500</v>
      </c>
      <c r="F5" t="s">
        <v>66</v>
      </c>
    </row>
    <row r="6" spans="1:6">
      <c r="A6" t="s">
        <v>63</v>
      </c>
      <c r="B6" t="s">
        <v>70</v>
      </c>
      <c r="C6" s="8">
        <v>45879</v>
      </c>
      <c r="D6" t="s">
        <v>65</v>
      </c>
      <c r="E6" s="4">
        <v>5500</v>
      </c>
      <c r="F6" t="s">
        <v>66</v>
      </c>
    </row>
    <row r="7" spans="1:6">
      <c r="A7" t="s">
        <v>63</v>
      </c>
      <c r="B7" t="s">
        <v>71</v>
      </c>
      <c r="C7" s="8">
        <v>45910</v>
      </c>
      <c r="D7" t="s">
        <v>65</v>
      </c>
      <c r="E7" s="4">
        <v>5500</v>
      </c>
      <c r="F7" t="s">
        <v>66</v>
      </c>
    </row>
    <row r="8" spans="1:6">
      <c r="A8" t="s">
        <v>63</v>
      </c>
      <c r="B8" t="s">
        <v>72</v>
      </c>
      <c r="C8" s="8">
        <v>45940</v>
      </c>
      <c r="D8" t="s">
        <v>65</v>
      </c>
      <c r="E8" s="4">
        <v>5500</v>
      </c>
      <c r="F8" t="s">
        <v>66</v>
      </c>
    </row>
    <row r="9" spans="1:6">
      <c r="A9" t="s">
        <v>63</v>
      </c>
      <c r="B9" t="s">
        <v>73</v>
      </c>
      <c r="C9" s="8">
        <v>45971</v>
      </c>
      <c r="D9" t="s">
        <v>65</v>
      </c>
      <c r="E9" s="4">
        <v>5500</v>
      </c>
      <c r="F9" t="s">
        <v>66</v>
      </c>
    </row>
    <row r="10" spans="1:6">
      <c r="A10" t="s">
        <v>63</v>
      </c>
      <c r="B10" t="s">
        <v>74</v>
      </c>
      <c r="C10" s="8">
        <v>46001</v>
      </c>
      <c r="D10" t="s">
        <v>65</v>
      </c>
      <c r="E10" s="4">
        <v>5500</v>
      </c>
      <c r="F10" t="s">
        <v>66</v>
      </c>
    </row>
    <row r="11" spans="1:6">
      <c r="A11" t="s">
        <v>63</v>
      </c>
      <c r="B11" t="s">
        <v>75</v>
      </c>
      <c r="C11" s="8">
        <v>46032</v>
      </c>
      <c r="D11" t="s">
        <v>65</v>
      </c>
      <c r="E11" s="4">
        <v>5500</v>
      </c>
      <c r="F11" t="s">
        <v>66</v>
      </c>
    </row>
    <row r="12" spans="1:6">
      <c r="A12" t="s">
        <v>63</v>
      </c>
      <c r="B12" t="s">
        <v>76</v>
      </c>
      <c r="C12" s="8">
        <v>46063</v>
      </c>
      <c r="D12" t="s">
        <v>65</v>
      </c>
      <c r="E12" s="4">
        <v>5500</v>
      </c>
      <c r="F12" t="s">
        <v>66</v>
      </c>
    </row>
    <row r="13" spans="1:6">
      <c r="A13" t="s">
        <v>63</v>
      </c>
      <c r="B13" t="s">
        <v>77</v>
      </c>
      <c r="C13" s="8">
        <v>46091</v>
      </c>
      <c r="D13" t="s">
        <v>65</v>
      </c>
      <c r="E13" s="4">
        <v>5500</v>
      </c>
      <c r="F13" t="s">
        <v>66</v>
      </c>
    </row>
    <row r="14" spans="1:6">
      <c r="A14" t="s">
        <v>78</v>
      </c>
      <c r="B14" t="s">
        <v>79</v>
      </c>
      <c r="C14" s="8">
        <v>45782</v>
      </c>
      <c r="D14" t="s">
        <v>80</v>
      </c>
      <c r="E14" s="4">
        <v>1198.71</v>
      </c>
      <c r="F14" t="s">
        <v>81</v>
      </c>
    </row>
    <row r="15" spans="1:6">
      <c r="A15" t="s">
        <v>78</v>
      </c>
      <c r="B15" t="s">
        <v>82</v>
      </c>
      <c r="C15" s="8">
        <v>45820</v>
      </c>
      <c r="D15" t="s">
        <v>80</v>
      </c>
      <c r="E15" s="4">
        <v>5085.52</v>
      </c>
      <c r="F15" t="s">
        <v>81</v>
      </c>
    </row>
    <row r="16" spans="1:6">
      <c r="A16" t="s">
        <v>78</v>
      </c>
      <c r="B16" t="s">
        <v>83</v>
      </c>
      <c r="C16" s="8">
        <v>46108</v>
      </c>
      <c r="D16" t="s">
        <v>80</v>
      </c>
      <c r="E16" s="4">
        <v>5232.36</v>
      </c>
      <c r="F16" t="s">
        <v>81</v>
      </c>
    </row>
    <row r="17" spans="1:6">
      <c r="A17" t="s">
        <v>84</v>
      </c>
      <c r="B17" t="s">
        <v>85</v>
      </c>
      <c r="C17" s="8">
        <v>45754</v>
      </c>
      <c r="D17" t="s">
        <v>86</v>
      </c>
      <c r="E17" s="4">
        <v>28500</v>
      </c>
      <c r="F17" t="s">
        <v>87</v>
      </c>
    </row>
    <row r="18" spans="1:6">
      <c r="A18" t="s">
        <v>84</v>
      </c>
      <c r="B18" t="s">
        <v>88</v>
      </c>
      <c r="C18" s="8">
        <v>45784</v>
      </c>
      <c r="D18" t="s">
        <v>86</v>
      </c>
      <c r="E18" s="4">
        <v>28500</v>
      </c>
      <c r="F18" t="s">
        <v>87</v>
      </c>
    </row>
    <row r="19" spans="1:6">
      <c r="A19" t="s">
        <v>84</v>
      </c>
      <c r="B19" t="s">
        <v>89</v>
      </c>
      <c r="C19" s="8">
        <v>45815</v>
      </c>
      <c r="D19" t="s">
        <v>86</v>
      </c>
      <c r="E19" s="4">
        <v>28500</v>
      </c>
      <c r="F19" t="s">
        <v>87</v>
      </c>
    </row>
    <row r="20" spans="1:6">
      <c r="A20" t="s">
        <v>84</v>
      </c>
      <c r="B20" t="s">
        <v>90</v>
      </c>
      <c r="C20" s="8">
        <v>45845</v>
      </c>
      <c r="D20" t="s">
        <v>86</v>
      </c>
      <c r="E20" s="4">
        <v>28500</v>
      </c>
      <c r="F20" t="s">
        <v>87</v>
      </c>
    </row>
    <row r="21" spans="1:6">
      <c r="A21" t="s">
        <v>84</v>
      </c>
      <c r="B21" t="s">
        <v>91</v>
      </c>
      <c r="C21" s="8">
        <v>45876</v>
      </c>
      <c r="D21" t="s">
        <v>86</v>
      </c>
      <c r="E21" s="4">
        <v>28500</v>
      </c>
      <c r="F21" t="s">
        <v>87</v>
      </c>
    </row>
    <row r="22" spans="1:6">
      <c r="A22" t="s">
        <v>84</v>
      </c>
      <c r="B22" t="s">
        <v>92</v>
      </c>
      <c r="C22" s="8">
        <v>45907</v>
      </c>
      <c r="D22" t="s">
        <v>86</v>
      </c>
      <c r="E22" s="4">
        <v>28500</v>
      </c>
      <c r="F22" t="s">
        <v>87</v>
      </c>
    </row>
    <row r="23" spans="1:6">
      <c r="A23" t="s">
        <v>84</v>
      </c>
      <c r="B23" t="s">
        <v>93</v>
      </c>
      <c r="C23" s="8">
        <v>45937</v>
      </c>
      <c r="D23" t="s">
        <v>86</v>
      </c>
      <c r="E23" s="4">
        <v>28500</v>
      </c>
      <c r="F23" t="s">
        <v>87</v>
      </c>
    </row>
    <row r="24" spans="1:6">
      <c r="A24" t="s">
        <v>84</v>
      </c>
      <c r="B24" t="s">
        <v>94</v>
      </c>
      <c r="C24" s="8">
        <v>45968</v>
      </c>
      <c r="D24" t="s">
        <v>86</v>
      </c>
      <c r="E24" s="4">
        <v>28500</v>
      </c>
      <c r="F24" t="s">
        <v>87</v>
      </c>
    </row>
    <row r="25" spans="1:6">
      <c r="A25" t="s">
        <v>84</v>
      </c>
      <c r="B25" t="s">
        <v>95</v>
      </c>
      <c r="C25" s="8">
        <v>45998</v>
      </c>
      <c r="D25" t="s">
        <v>86</v>
      </c>
      <c r="E25" s="4">
        <v>28500</v>
      </c>
      <c r="F25" t="s">
        <v>87</v>
      </c>
    </row>
    <row r="26" spans="1:6">
      <c r="A26" t="s">
        <v>84</v>
      </c>
      <c r="B26" t="s">
        <v>96</v>
      </c>
      <c r="C26" s="8">
        <v>46029</v>
      </c>
      <c r="D26" t="s">
        <v>86</v>
      </c>
      <c r="E26" s="4">
        <v>28500</v>
      </c>
      <c r="F26" t="s">
        <v>87</v>
      </c>
    </row>
    <row r="27" spans="1:6">
      <c r="A27" t="s">
        <v>84</v>
      </c>
      <c r="B27" t="s">
        <v>97</v>
      </c>
      <c r="C27" s="8">
        <v>46060</v>
      </c>
      <c r="D27" t="s">
        <v>86</v>
      </c>
      <c r="E27" s="4">
        <v>28500</v>
      </c>
      <c r="F27" t="s">
        <v>87</v>
      </c>
    </row>
    <row r="28" spans="1:6">
      <c r="A28" t="s">
        <v>84</v>
      </c>
      <c r="B28" t="s">
        <v>98</v>
      </c>
      <c r="C28" s="8">
        <v>46088</v>
      </c>
      <c r="D28" t="s">
        <v>86</v>
      </c>
      <c r="E28" s="4">
        <v>28500</v>
      </c>
      <c r="F28" t="s">
        <v>87</v>
      </c>
    </row>
    <row r="29" spans="1:6">
      <c r="A29" t="s">
        <v>99</v>
      </c>
      <c r="B29" t="s">
        <v>100</v>
      </c>
      <c r="C29" s="8">
        <v>45762</v>
      </c>
      <c r="D29" t="s">
        <v>101</v>
      </c>
      <c r="E29" s="4">
        <v>20000</v>
      </c>
      <c r="F29" t="s">
        <v>102</v>
      </c>
    </row>
    <row r="30" spans="1:6">
      <c r="A30" t="s">
        <v>99</v>
      </c>
      <c r="B30" t="s">
        <v>103</v>
      </c>
      <c r="C30" s="8">
        <v>45763</v>
      </c>
      <c r="D30" t="s">
        <v>104</v>
      </c>
      <c r="E30" s="4">
        <v>15000</v>
      </c>
      <c r="F30" t="s">
        <v>102</v>
      </c>
    </row>
    <row r="31" spans="1:6">
      <c r="A31" t="s">
        <v>99</v>
      </c>
      <c r="B31" t="s">
        <v>105</v>
      </c>
      <c r="C31" s="8">
        <v>45792</v>
      </c>
      <c r="D31" t="s">
        <v>101</v>
      </c>
      <c r="E31" s="4">
        <v>20000</v>
      </c>
      <c r="F31" t="s">
        <v>102</v>
      </c>
    </row>
    <row r="32" spans="1:6">
      <c r="A32" t="s">
        <v>99</v>
      </c>
      <c r="B32" t="s">
        <v>106</v>
      </c>
      <c r="C32" s="8">
        <v>45793</v>
      </c>
      <c r="D32" t="s">
        <v>104</v>
      </c>
      <c r="E32" s="4">
        <v>10000</v>
      </c>
      <c r="F32" t="s">
        <v>102</v>
      </c>
    </row>
    <row r="33" spans="1:6">
      <c r="A33" t="s">
        <v>99</v>
      </c>
      <c r="B33" t="s">
        <v>107</v>
      </c>
      <c r="C33" s="8">
        <v>45823</v>
      </c>
      <c r="D33" t="s">
        <v>101</v>
      </c>
      <c r="E33" s="4">
        <v>20000</v>
      </c>
      <c r="F33" t="s">
        <v>102</v>
      </c>
    </row>
    <row r="34" spans="1:6">
      <c r="A34" t="s">
        <v>99</v>
      </c>
      <c r="B34" t="s">
        <v>108</v>
      </c>
      <c r="C34" s="8">
        <v>45824</v>
      </c>
      <c r="D34" t="s">
        <v>104</v>
      </c>
      <c r="E34" s="4">
        <v>10000</v>
      </c>
      <c r="F34" t="s">
        <v>102</v>
      </c>
    </row>
    <row r="35" spans="1:6">
      <c r="A35" t="s">
        <v>99</v>
      </c>
      <c r="B35" t="s">
        <v>109</v>
      </c>
      <c r="C35" s="8">
        <v>45853</v>
      </c>
      <c r="D35" t="s">
        <v>101</v>
      </c>
      <c r="E35" s="4">
        <v>20000</v>
      </c>
      <c r="F35" t="s">
        <v>102</v>
      </c>
    </row>
    <row r="36" spans="1:6">
      <c r="A36" t="s">
        <v>99</v>
      </c>
      <c r="B36" t="s">
        <v>110</v>
      </c>
      <c r="C36" s="8">
        <v>45854</v>
      </c>
      <c r="D36" t="s">
        <v>104</v>
      </c>
      <c r="E36" s="4">
        <v>15000</v>
      </c>
      <c r="F36" t="s">
        <v>102</v>
      </c>
    </row>
    <row r="37" spans="1:6">
      <c r="A37" t="s">
        <v>99</v>
      </c>
      <c r="B37" t="s">
        <v>111</v>
      </c>
      <c r="C37" s="8">
        <v>45884</v>
      </c>
      <c r="D37" t="s">
        <v>101</v>
      </c>
      <c r="E37" s="4">
        <v>20000</v>
      </c>
      <c r="F37" t="s">
        <v>102</v>
      </c>
    </row>
    <row r="38" spans="1:6">
      <c r="A38" t="s">
        <v>99</v>
      </c>
      <c r="B38" t="s">
        <v>112</v>
      </c>
      <c r="C38" s="8">
        <v>45885</v>
      </c>
      <c r="D38" t="s">
        <v>104</v>
      </c>
      <c r="E38" s="4">
        <v>10000</v>
      </c>
      <c r="F38" t="s">
        <v>102</v>
      </c>
    </row>
    <row r="39" spans="1:6">
      <c r="A39" t="s">
        <v>99</v>
      </c>
      <c r="B39" t="s">
        <v>113</v>
      </c>
      <c r="C39" s="8">
        <v>45915</v>
      </c>
      <c r="D39" t="s">
        <v>101</v>
      </c>
      <c r="E39" s="4">
        <v>20000</v>
      </c>
      <c r="F39" t="s">
        <v>102</v>
      </c>
    </row>
    <row r="40" spans="1:6">
      <c r="A40" t="s">
        <v>99</v>
      </c>
      <c r="B40" t="s">
        <v>114</v>
      </c>
      <c r="C40" s="8">
        <v>45916</v>
      </c>
      <c r="D40" t="s">
        <v>104</v>
      </c>
      <c r="E40" s="4">
        <v>10000</v>
      </c>
      <c r="F40" t="s">
        <v>102</v>
      </c>
    </row>
    <row r="41" spans="1:6">
      <c r="A41" t="s">
        <v>99</v>
      </c>
      <c r="B41" t="s">
        <v>115</v>
      </c>
      <c r="C41" s="8">
        <v>45945</v>
      </c>
      <c r="D41" t="s">
        <v>101</v>
      </c>
      <c r="E41" s="4">
        <v>20000</v>
      </c>
      <c r="F41" t="s">
        <v>102</v>
      </c>
    </row>
    <row r="42" spans="1:6">
      <c r="A42" t="s">
        <v>99</v>
      </c>
      <c r="B42" t="s">
        <v>116</v>
      </c>
      <c r="C42" s="8">
        <v>45946</v>
      </c>
      <c r="D42" t="s">
        <v>104</v>
      </c>
      <c r="E42" s="4">
        <v>15000</v>
      </c>
      <c r="F42" t="s">
        <v>102</v>
      </c>
    </row>
    <row r="43" spans="1:6">
      <c r="A43" t="s">
        <v>99</v>
      </c>
      <c r="B43" t="s">
        <v>117</v>
      </c>
      <c r="C43" s="8">
        <v>45976</v>
      </c>
      <c r="D43" t="s">
        <v>101</v>
      </c>
      <c r="E43" s="4">
        <v>20000</v>
      </c>
      <c r="F43" t="s">
        <v>102</v>
      </c>
    </row>
    <row r="44" spans="1:6">
      <c r="A44" t="s">
        <v>99</v>
      </c>
      <c r="B44" t="s">
        <v>118</v>
      </c>
      <c r="C44" s="8">
        <v>45977</v>
      </c>
      <c r="D44" t="s">
        <v>104</v>
      </c>
      <c r="E44" s="4">
        <v>10000</v>
      </c>
      <c r="F44" t="s">
        <v>102</v>
      </c>
    </row>
    <row r="45" spans="1:6">
      <c r="A45" t="s">
        <v>99</v>
      </c>
      <c r="B45" t="s">
        <v>119</v>
      </c>
      <c r="C45" s="8">
        <v>46006</v>
      </c>
      <c r="D45" t="s">
        <v>101</v>
      </c>
      <c r="E45" s="4">
        <v>20000</v>
      </c>
      <c r="F45" t="s">
        <v>102</v>
      </c>
    </row>
    <row r="46" spans="1:6">
      <c r="A46" t="s">
        <v>99</v>
      </c>
      <c r="B46" t="s">
        <v>120</v>
      </c>
      <c r="C46" s="8">
        <v>46007</v>
      </c>
      <c r="D46" t="s">
        <v>104</v>
      </c>
      <c r="E46" s="4">
        <v>10000</v>
      </c>
      <c r="F46" t="s">
        <v>102</v>
      </c>
    </row>
    <row r="47" spans="1:6">
      <c r="A47" t="s">
        <v>99</v>
      </c>
      <c r="B47" t="s">
        <v>121</v>
      </c>
      <c r="C47" s="8">
        <v>46037</v>
      </c>
      <c r="D47" t="s">
        <v>101</v>
      </c>
      <c r="E47" s="4">
        <v>20000</v>
      </c>
      <c r="F47" t="s">
        <v>102</v>
      </c>
    </row>
    <row r="48" spans="1:6">
      <c r="A48" t="s">
        <v>99</v>
      </c>
      <c r="B48" t="s">
        <v>122</v>
      </c>
      <c r="C48" s="8">
        <v>46038</v>
      </c>
      <c r="D48" t="s">
        <v>104</v>
      </c>
      <c r="E48" s="4">
        <v>15000</v>
      </c>
      <c r="F48" t="s">
        <v>102</v>
      </c>
    </row>
    <row r="49" spans="1:6">
      <c r="A49" t="s">
        <v>99</v>
      </c>
      <c r="B49" t="s">
        <v>123</v>
      </c>
      <c r="C49" s="8">
        <v>46068</v>
      </c>
      <c r="D49" t="s">
        <v>101</v>
      </c>
      <c r="E49" s="4">
        <v>20000</v>
      </c>
      <c r="F49" t="s">
        <v>102</v>
      </c>
    </row>
    <row r="50" spans="1:6">
      <c r="A50" t="s">
        <v>99</v>
      </c>
      <c r="B50" t="s">
        <v>124</v>
      </c>
      <c r="C50" s="8">
        <v>46069</v>
      </c>
      <c r="D50" t="s">
        <v>104</v>
      </c>
      <c r="E50" s="4">
        <v>10000</v>
      </c>
      <c r="F50" t="s">
        <v>102</v>
      </c>
    </row>
    <row r="51" spans="1:6">
      <c r="A51" t="s">
        <v>99</v>
      </c>
      <c r="B51" t="s">
        <v>125</v>
      </c>
      <c r="C51" s="8">
        <v>46096</v>
      </c>
      <c r="D51" t="s">
        <v>101</v>
      </c>
      <c r="E51" s="4">
        <v>20000</v>
      </c>
      <c r="F51" t="s">
        <v>102</v>
      </c>
    </row>
    <row r="52" spans="1:6">
      <c r="A52" t="s">
        <v>99</v>
      </c>
      <c r="B52" t="s">
        <v>126</v>
      </c>
      <c r="C52" s="8">
        <v>46097</v>
      </c>
      <c r="D52" t="s">
        <v>104</v>
      </c>
      <c r="E52" s="4">
        <v>10000</v>
      </c>
      <c r="F52" t="s">
        <v>102</v>
      </c>
    </row>
    <row r="53" spans="1:6">
      <c r="A53" t="s">
        <v>127</v>
      </c>
      <c r="B53" t="s">
        <v>128</v>
      </c>
      <c r="C53" s="8">
        <v>45820</v>
      </c>
      <c r="D53" t="s">
        <v>129</v>
      </c>
      <c r="E53" s="4">
        <v>2690.1</v>
      </c>
      <c r="F53" t="s">
        <v>130</v>
      </c>
    </row>
    <row r="54" spans="1:6">
      <c r="A54" t="s">
        <v>127</v>
      </c>
      <c r="B54" t="s">
        <v>131</v>
      </c>
      <c r="C54" s="8">
        <v>45895</v>
      </c>
      <c r="D54" t="s">
        <v>129</v>
      </c>
      <c r="E54" s="4">
        <v>2398.08</v>
      </c>
      <c r="F54" t="s">
        <v>130</v>
      </c>
    </row>
    <row r="55" spans="1:6">
      <c r="A55" t="s">
        <v>127</v>
      </c>
      <c r="B55" t="s">
        <v>132</v>
      </c>
      <c r="C55" s="8">
        <v>45909</v>
      </c>
      <c r="D55" t="s">
        <v>129</v>
      </c>
      <c r="E55" s="4">
        <v>4689.53</v>
      </c>
      <c r="F55" t="s">
        <v>130</v>
      </c>
    </row>
    <row r="56" spans="1:6">
      <c r="A56" t="s">
        <v>127</v>
      </c>
      <c r="B56" t="s">
        <v>133</v>
      </c>
      <c r="C56" s="8">
        <v>45997</v>
      </c>
      <c r="D56" t="s">
        <v>129</v>
      </c>
      <c r="E56" s="4">
        <v>2271.27</v>
      </c>
      <c r="F56" t="s">
        <v>130</v>
      </c>
    </row>
    <row r="57" spans="1:6">
      <c r="A57" t="s">
        <v>127</v>
      </c>
      <c r="B57" t="s">
        <v>134</v>
      </c>
      <c r="C57" s="8">
        <v>46073</v>
      </c>
      <c r="D57" t="s">
        <v>129</v>
      </c>
      <c r="E57" s="4">
        <v>6581.51</v>
      </c>
      <c r="F57" t="s">
        <v>130</v>
      </c>
    </row>
    <row r="58" spans="1:6">
      <c r="A58" t="s">
        <v>135</v>
      </c>
      <c r="B58" t="s">
        <v>136</v>
      </c>
      <c r="C58" s="8">
        <v>45750</v>
      </c>
      <c r="D58" t="s">
        <v>135</v>
      </c>
      <c r="E58" s="4">
        <v>32000</v>
      </c>
      <c r="F58" t="s">
        <v>137</v>
      </c>
    </row>
    <row r="59" spans="1:6">
      <c r="A59" t="s">
        <v>135</v>
      </c>
      <c r="B59" t="s">
        <v>138</v>
      </c>
      <c r="C59" s="8">
        <v>45780</v>
      </c>
      <c r="D59" t="s">
        <v>135</v>
      </c>
      <c r="E59" s="4">
        <v>32000</v>
      </c>
      <c r="F59" t="s">
        <v>137</v>
      </c>
    </row>
    <row r="60" spans="1:6">
      <c r="A60" t="s">
        <v>135</v>
      </c>
      <c r="B60" t="s">
        <v>139</v>
      </c>
      <c r="C60" s="8">
        <v>45811</v>
      </c>
      <c r="D60" t="s">
        <v>135</v>
      </c>
      <c r="E60" s="4">
        <v>32000</v>
      </c>
      <c r="F60" t="s">
        <v>137</v>
      </c>
    </row>
    <row r="61" spans="1:6">
      <c r="A61" t="s">
        <v>135</v>
      </c>
      <c r="B61" t="s">
        <v>140</v>
      </c>
      <c r="C61" s="8">
        <v>45841</v>
      </c>
      <c r="D61" t="s">
        <v>135</v>
      </c>
      <c r="E61" s="4">
        <v>32000</v>
      </c>
      <c r="F61" t="s">
        <v>137</v>
      </c>
    </row>
    <row r="62" spans="1:6">
      <c r="A62" t="s">
        <v>135</v>
      </c>
      <c r="B62" t="s">
        <v>141</v>
      </c>
      <c r="C62" s="8">
        <v>45872</v>
      </c>
      <c r="D62" t="s">
        <v>135</v>
      </c>
      <c r="E62" s="4">
        <v>32000</v>
      </c>
      <c r="F62" t="s">
        <v>137</v>
      </c>
    </row>
    <row r="63" spans="1:6">
      <c r="A63" t="s">
        <v>135</v>
      </c>
      <c r="B63" t="s">
        <v>142</v>
      </c>
      <c r="C63" s="8">
        <v>45903</v>
      </c>
      <c r="D63" t="s">
        <v>135</v>
      </c>
      <c r="E63" s="4">
        <v>32000</v>
      </c>
      <c r="F63" t="s">
        <v>137</v>
      </c>
    </row>
    <row r="64" spans="1:6">
      <c r="A64" t="s">
        <v>135</v>
      </c>
      <c r="B64" t="s">
        <v>143</v>
      </c>
      <c r="C64" s="8">
        <v>45933</v>
      </c>
      <c r="D64" t="s">
        <v>135</v>
      </c>
      <c r="E64" s="4">
        <v>32000</v>
      </c>
      <c r="F64" t="s">
        <v>137</v>
      </c>
    </row>
    <row r="65" spans="1:6">
      <c r="A65" t="s">
        <v>135</v>
      </c>
      <c r="B65" t="s">
        <v>144</v>
      </c>
      <c r="C65" s="8">
        <v>45964</v>
      </c>
      <c r="D65" t="s">
        <v>135</v>
      </c>
      <c r="E65" s="4">
        <v>32000</v>
      </c>
      <c r="F65" t="s">
        <v>137</v>
      </c>
    </row>
    <row r="66" spans="1:6">
      <c r="A66" t="s">
        <v>135</v>
      </c>
      <c r="B66" t="s">
        <v>145</v>
      </c>
      <c r="C66" s="8">
        <v>45994</v>
      </c>
      <c r="D66" t="s">
        <v>135</v>
      </c>
      <c r="E66" s="4">
        <v>32000</v>
      </c>
      <c r="F66" t="s">
        <v>137</v>
      </c>
    </row>
    <row r="67" spans="1:6">
      <c r="A67" t="s">
        <v>135</v>
      </c>
      <c r="B67" t="s">
        <v>146</v>
      </c>
      <c r="C67" s="8">
        <v>46025</v>
      </c>
      <c r="D67" t="s">
        <v>135</v>
      </c>
      <c r="E67" s="4">
        <v>32000</v>
      </c>
      <c r="F67" t="s">
        <v>137</v>
      </c>
    </row>
    <row r="68" spans="1:6">
      <c r="A68" t="s">
        <v>135</v>
      </c>
      <c r="B68" t="s">
        <v>147</v>
      </c>
      <c r="C68" s="8">
        <v>46056</v>
      </c>
      <c r="D68" t="s">
        <v>135</v>
      </c>
      <c r="E68" s="4">
        <v>32000</v>
      </c>
      <c r="F68" t="s">
        <v>137</v>
      </c>
    </row>
    <row r="69" spans="1:6">
      <c r="A69" t="s">
        <v>135</v>
      </c>
      <c r="B69" t="s">
        <v>148</v>
      </c>
      <c r="C69" s="8">
        <v>46084</v>
      </c>
      <c r="D69" t="s">
        <v>135</v>
      </c>
      <c r="E69" s="4">
        <v>32000</v>
      </c>
      <c r="F69" t="s">
        <v>137</v>
      </c>
    </row>
    <row r="71" spans="1:6">
      <c r="A71" s="2" t="s">
        <v>149</v>
      </c>
    </row>
  </sheetData>
  <autoFilter ref="A1:F6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0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3.7109375" customWidth="1"/>
    <col min="4" max="4" width="15.7109375" customWidth="1"/>
    <col min="5" max="5" width="28.7109375" customWidth="1"/>
    <col min="6" max="6" width="10.7109375" customWidth="1"/>
    <col min="7" max="7" width="11.7109375" customWidth="1"/>
    <col min="8" max="8" width="15.7109375" customWidth="1"/>
    <col min="9" max="9" width="30.7109375" customWidth="1"/>
  </cols>
  <sheetData>
    <row r="1" spans="1:9">
      <c r="A1" s="3" t="s">
        <v>59</v>
      </c>
      <c r="B1" s="3" t="s">
        <v>150</v>
      </c>
      <c r="C1" s="3" t="s">
        <v>60</v>
      </c>
      <c r="D1" s="3" t="s">
        <v>19</v>
      </c>
      <c r="E1" s="3" t="s">
        <v>61</v>
      </c>
      <c r="F1" s="3" t="s">
        <v>151</v>
      </c>
      <c r="G1" s="3" t="s">
        <v>22</v>
      </c>
      <c r="H1" s="3" t="s">
        <v>20</v>
      </c>
      <c r="I1" s="3" t="s">
        <v>152</v>
      </c>
    </row>
    <row r="2" spans="1:9">
      <c r="A2" t="s">
        <v>153</v>
      </c>
      <c r="B2" t="s">
        <v>153</v>
      </c>
      <c r="C2" s="8">
        <v>45748</v>
      </c>
      <c r="D2" t="s">
        <v>28</v>
      </c>
      <c r="E2" t="s">
        <v>154</v>
      </c>
      <c r="F2" t="s">
        <v>155</v>
      </c>
      <c r="G2" t="s">
        <v>156</v>
      </c>
      <c r="H2" s="4">
        <v>2072.42</v>
      </c>
    </row>
    <row r="3" spans="1:9">
      <c r="A3" t="s">
        <v>157</v>
      </c>
      <c r="B3" t="s">
        <v>157</v>
      </c>
      <c r="C3" s="8">
        <v>45749</v>
      </c>
      <c r="D3" t="s">
        <v>1</v>
      </c>
      <c r="E3" t="s">
        <v>158</v>
      </c>
      <c r="F3" t="s">
        <v>159</v>
      </c>
      <c r="G3" t="s">
        <v>159</v>
      </c>
      <c r="H3" s="4">
        <v>214000</v>
      </c>
    </row>
    <row r="4" spans="1:9">
      <c r="A4" t="s">
        <v>136</v>
      </c>
      <c r="B4" t="s">
        <v>136</v>
      </c>
      <c r="C4" s="8">
        <v>45750</v>
      </c>
      <c r="D4" t="s">
        <v>23</v>
      </c>
      <c r="E4" t="s">
        <v>135</v>
      </c>
      <c r="F4" t="s">
        <v>155</v>
      </c>
      <c r="G4" t="s">
        <v>156</v>
      </c>
      <c r="H4" s="4">
        <v>32000</v>
      </c>
    </row>
    <row r="5" spans="1:9">
      <c r="A5" t="s">
        <v>160</v>
      </c>
      <c r="B5" t="s">
        <v>160</v>
      </c>
      <c r="C5" s="8">
        <v>45751</v>
      </c>
      <c r="D5" t="s">
        <v>27</v>
      </c>
      <c r="E5" t="s">
        <v>161</v>
      </c>
      <c r="F5" t="s">
        <v>155</v>
      </c>
      <c r="G5" t="s">
        <v>156</v>
      </c>
      <c r="H5" s="4">
        <v>826.47</v>
      </c>
    </row>
    <row r="6" spans="1:9">
      <c r="A6" t="s">
        <v>162</v>
      </c>
      <c r="B6" t="s">
        <v>162</v>
      </c>
      <c r="C6" s="8">
        <v>45751</v>
      </c>
      <c r="D6" t="s">
        <v>25</v>
      </c>
      <c r="E6" t="s">
        <v>163</v>
      </c>
      <c r="F6" t="s">
        <v>155</v>
      </c>
      <c r="G6" t="s">
        <v>156</v>
      </c>
      <c r="H6" s="4">
        <v>2968.68</v>
      </c>
    </row>
    <row r="7" spans="1:9">
      <c r="A7" t="s">
        <v>164</v>
      </c>
      <c r="B7" t="s">
        <v>164</v>
      </c>
      <c r="C7" s="8">
        <v>45752</v>
      </c>
      <c r="D7" t="s">
        <v>165</v>
      </c>
      <c r="E7" t="s">
        <v>166</v>
      </c>
      <c r="F7" t="s">
        <v>159</v>
      </c>
      <c r="G7" t="s">
        <v>159</v>
      </c>
      <c r="H7" s="4">
        <v>23000</v>
      </c>
    </row>
    <row r="8" spans="1:9">
      <c r="A8" t="s">
        <v>167</v>
      </c>
      <c r="B8" t="s">
        <v>167</v>
      </c>
      <c r="C8" s="8">
        <v>45754</v>
      </c>
      <c r="D8" t="s">
        <v>25</v>
      </c>
      <c r="E8" t="s">
        <v>168</v>
      </c>
      <c r="F8" t="s">
        <v>155</v>
      </c>
      <c r="G8" t="s">
        <v>156</v>
      </c>
      <c r="H8" s="4">
        <v>4320.54</v>
      </c>
    </row>
    <row r="9" spans="1:9">
      <c r="A9" t="s">
        <v>85</v>
      </c>
      <c r="B9" t="s">
        <v>85</v>
      </c>
      <c r="C9" s="8">
        <v>45754</v>
      </c>
      <c r="D9" t="s">
        <v>169</v>
      </c>
      <c r="E9" t="s">
        <v>86</v>
      </c>
      <c r="F9" t="s">
        <v>155</v>
      </c>
      <c r="G9" t="s">
        <v>170</v>
      </c>
      <c r="H9" s="4">
        <v>28500</v>
      </c>
    </row>
    <row r="10" spans="1:9">
      <c r="A10" t="s">
        <v>171</v>
      </c>
      <c r="B10" t="s">
        <v>171</v>
      </c>
      <c r="C10" s="8">
        <v>45755</v>
      </c>
      <c r="D10" t="s">
        <v>169</v>
      </c>
      <c r="E10" t="s">
        <v>172</v>
      </c>
      <c r="F10" t="s">
        <v>155</v>
      </c>
      <c r="G10" t="s">
        <v>170</v>
      </c>
      <c r="H10" s="4">
        <v>11200</v>
      </c>
    </row>
    <row r="11" spans="1:9">
      <c r="A11" t="s">
        <v>64</v>
      </c>
      <c r="B11" t="s">
        <v>64</v>
      </c>
      <c r="C11" s="8">
        <v>45757</v>
      </c>
      <c r="D11" t="s">
        <v>31</v>
      </c>
      <c r="E11" t="s">
        <v>65</v>
      </c>
      <c r="F11" t="s">
        <v>155</v>
      </c>
      <c r="G11" t="s">
        <v>156</v>
      </c>
      <c r="H11" s="4">
        <v>5500</v>
      </c>
    </row>
    <row r="12" spans="1:9">
      <c r="A12" t="s">
        <v>173</v>
      </c>
      <c r="B12" t="s">
        <v>173</v>
      </c>
      <c r="C12" s="8">
        <v>45757</v>
      </c>
      <c r="D12" t="s">
        <v>4</v>
      </c>
      <c r="E12" t="s">
        <v>174</v>
      </c>
      <c r="F12" t="s">
        <v>155</v>
      </c>
      <c r="G12" t="s">
        <v>156</v>
      </c>
      <c r="H12" s="4">
        <v>2013.22</v>
      </c>
    </row>
    <row r="13" spans="1:9">
      <c r="A13" t="s">
        <v>175</v>
      </c>
      <c r="B13" t="s">
        <v>175</v>
      </c>
      <c r="C13" s="8">
        <v>45757</v>
      </c>
      <c r="D13" t="s">
        <v>25</v>
      </c>
      <c r="E13" t="s">
        <v>168</v>
      </c>
      <c r="F13" t="s">
        <v>155</v>
      </c>
      <c r="G13" t="s">
        <v>156</v>
      </c>
      <c r="H13" s="4">
        <v>3782.84</v>
      </c>
    </row>
    <row r="14" spans="1:9">
      <c r="A14" t="s">
        <v>176</v>
      </c>
      <c r="B14" t="s">
        <v>176</v>
      </c>
      <c r="C14" s="8">
        <v>45759</v>
      </c>
      <c r="D14" t="s">
        <v>30</v>
      </c>
      <c r="E14" t="s">
        <v>177</v>
      </c>
      <c r="F14" t="s">
        <v>155</v>
      </c>
      <c r="G14" t="s">
        <v>156</v>
      </c>
      <c r="H14" s="4">
        <v>3450</v>
      </c>
    </row>
    <row r="15" spans="1:9">
      <c r="A15" t="s">
        <v>178</v>
      </c>
      <c r="B15" t="s">
        <v>178</v>
      </c>
      <c r="C15" s="8">
        <v>45760</v>
      </c>
      <c r="D15" t="s">
        <v>27</v>
      </c>
      <c r="E15" t="s">
        <v>179</v>
      </c>
      <c r="F15" t="s">
        <v>155</v>
      </c>
      <c r="G15" t="s">
        <v>156</v>
      </c>
      <c r="H15" s="4">
        <v>632.63</v>
      </c>
    </row>
    <row r="16" spans="1:9">
      <c r="A16" t="s">
        <v>180</v>
      </c>
      <c r="B16" t="s">
        <v>180</v>
      </c>
      <c r="C16" s="8">
        <v>45760</v>
      </c>
      <c r="D16" t="s">
        <v>30</v>
      </c>
      <c r="E16" t="s">
        <v>181</v>
      </c>
      <c r="F16" t="s">
        <v>155</v>
      </c>
      <c r="G16" t="s">
        <v>156</v>
      </c>
      <c r="H16" s="4">
        <v>1200</v>
      </c>
    </row>
    <row r="17" spans="1:8">
      <c r="A17" t="s">
        <v>182</v>
      </c>
      <c r="B17" t="s">
        <v>182</v>
      </c>
      <c r="C17" s="8">
        <v>45761</v>
      </c>
      <c r="D17" t="s">
        <v>30</v>
      </c>
      <c r="E17" t="s">
        <v>183</v>
      </c>
      <c r="F17" t="s">
        <v>155</v>
      </c>
      <c r="G17" t="s">
        <v>156</v>
      </c>
      <c r="H17" s="4">
        <v>900</v>
      </c>
    </row>
    <row r="18" spans="1:8">
      <c r="A18" t="s">
        <v>100</v>
      </c>
      <c r="B18" t="s">
        <v>100</v>
      </c>
      <c r="C18" s="8">
        <v>45762</v>
      </c>
      <c r="D18" t="s">
        <v>184</v>
      </c>
      <c r="E18" t="s">
        <v>101</v>
      </c>
      <c r="F18" t="s">
        <v>155</v>
      </c>
      <c r="G18" t="s">
        <v>185</v>
      </c>
      <c r="H18" s="4">
        <v>20000</v>
      </c>
    </row>
    <row r="19" spans="1:8">
      <c r="A19" t="s">
        <v>186</v>
      </c>
      <c r="B19" t="s">
        <v>186</v>
      </c>
      <c r="C19" s="8">
        <v>45763</v>
      </c>
      <c r="D19" t="s">
        <v>28</v>
      </c>
      <c r="E19" t="s">
        <v>154</v>
      </c>
      <c r="F19" t="s">
        <v>155</v>
      </c>
      <c r="G19" t="s">
        <v>156</v>
      </c>
      <c r="H19" s="4">
        <v>1558.91</v>
      </c>
    </row>
    <row r="20" spans="1:8">
      <c r="A20" t="s">
        <v>103</v>
      </c>
      <c r="B20" t="s">
        <v>103</v>
      </c>
      <c r="C20" s="8">
        <v>45763</v>
      </c>
      <c r="D20" t="s">
        <v>184</v>
      </c>
      <c r="E20" t="s">
        <v>104</v>
      </c>
      <c r="F20" t="s">
        <v>155</v>
      </c>
      <c r="G20" t="s">
        <v>185</v>
      </c>
      <c r="H20" s="4">
        <v>15000</v>
      </c>
    </row>
    <row r="21" spans="1:8">
      <c r="A21" t="s">
        <v>187</v>
      </c>
      <c r="B21" t="s">
        <v>187</v>
      </c>
      <c r="C21" s="8">
        <v>45767</v>
      </c>
      <c r="D21" t="s">
        <v>29</v>
      </c>
      <c r="E21" t="s">
        <v>188</v>
      </c>
      <c r="F21" t="s">
        <v>155</v>
      </c>
      <c r="G21" t="s">
        <v>156</v>
      </c>
      <c r="H21" s="4">
        <v>34718.2</v>
      </c>
    </row>
    <row r="22" spans="1:8">
      <c r="A22" t="s">
        <v>189</v>
      </c>
      <c r="B22" t="s">
        <v>189</v>
      </c>
      <c r="C22" s="8">
        <v>45769</v>
      </c>
      <c r="D22" t="s">
        <v>169</v>
      </c>
      <c r="E22" t="s">
        <v>190</v>
      </c>
      <c r="F22" t="s">
        <v>155</v>
      </c>
      <c r="G22" t="s">
        <v>170</v>
      </c>
      <c r="H22" s="4">
        <v>9383.030000000001</v>
      </c>
    </row>
    <row r="23" spans="1:8">
      <c r="A23" t="s">
        <v>191</v>
      </c>
      <c r="B23" t="s">
        <v>191</v>
      </c>
      <c r="C23" s="8">
        <v>45769</v>
      </c>
      <c r="D23" t="s">
        <v>25</v>
      </c>
      <c r="E23" t="s">
        <v>163</v>
      </c>
      <c r="F23" t="s">
        <v>155</v>
      </c>
      <c r="G23" t="s">
        <v>156</v>
      </c>
      <c r="H23" s="4">
        <v>2084.88</v>
      </c>
    </row>
    <row r="24" spans="1:8">
      <c r="A24" t="s">
        <v>192</v>
      </c>
      <c r="B24" t="s">
        <v>192</v>
      </c>
      <c r="C24" s="8">
        <v>45769</v>
      </c>
      <c r="D24" t="s">
        <v>27</v>
      </c>
      <c r="E24" t="s">
        <v>161</v>
      </c>
      <c r="F24" t="s">
        <v>155</v>
      </c>
      <c r="G24" t="s">
        <v>156</v>
      </c>
      <c r="H24" s="4">
        <v>539.76</v>
      </c>
    </row>
    <row r="25" spans="1:8">
      <c r="A25" t="s">
        <v>193</v>
      </c>
      <c r="B25" t="s">
        <v>193</v>
      </c>
      <c r="C25" s="8">
        <v>45769</v>
      </c>
      <c r="D25" t="s">
        <v>28</v>
      </c>
      <c r="E25" t="s">
        <v>194</v>
      </c>
      <c r="F25" t="s">
        <v>155</v>
      </c>
      <c r="G25" t="s">
        <v>156</v>
      </c>
      <c r="H25" s="4">
        <v>1249.04</v>
      </c>
    </row>
    <row r="26" spans="1:8">
      <c r="A26" t="s">
        <v>195</v>
      </c>
      <c r="B26" t="s">
        <v>195</v>
      </c>
      <c r="C26" s="8">
        <v>45769</v>
      </c>
      <c r="D26" t="s">
        <v>33</v>
      </c>
      <c r="E26" t="s">
        <v>196</v>
      </c>
      <c r="F26" t="s">
        <v>155</v>
      </c>
      <c r="G26" t="s">
        <v>156</v>
      </c>
      <c r="H26" s="4">
        <v>5512.21</v>
      </c>
    </row>
    <row r="27" spans="1:8">
      <c r="A27" t="s">
        <v>197</v>
      </c>
      <c r="B27" t="s">
        <v>197</v>
      </c>
      <c r="C27" s="8">
        <v>45769</v>
      </c>
      <c r="D27" t="s">
        <v>34</v>
      </c>
      <c r="E27" t="s">
        <v>198</v>
      </c>
      <c r="F27" t="s">
        <v>155</v>
      </c>
      <c r="G27" t="s">
        <v>156</v>
      </c>
      <c r="H27" s="4">
        <v>1495.84</v>
      </c>
    </row>
    <row r="28" spans="1:8">
      <c r="A28" t="s">
        <v>199</v>
      </c>
      <c r="B28" t="s">
        <v>199</v>
      </c>
      <c r="C28" s="8">
        <v>45769</v>
      </c>
      <c r="D28" t="s">
        <v>4</v>
      </c>
      <c r="E28" t="s">
        <v>200</v>
      </c>
      <c r="F28" t="s">
        <v>155</v>
      </c>
      <c r="G28" t="s">
        <v>156</v>
      </c>
      <c r="H28" s="4">
        <v>1560.81</v>
      </c>
    </row>
    <row r="29" spans="1:8">
      <c r="A29" t="s">
        <v>201</v>
      </c>
      <c r="B29" t="s">
        <v>201</v>
      </c>
      <c r="C29" s="8">
        <v>45769</v>
      </c>
      <c r="D29" t="s">
        <v>32</v>
      </c>
      <c r="E29" t="s">
        <v>202</v>
      </c>
      <c r="F29" t="s">
        <v>155</v>
      </c>
      <c r="G29" t="s">
        <v>156</v>
      </c>
      <c r="H29" s="4">
        <v>2783.62</v>
      </c>
    </row>
    <row r="30" spans="1:8">
      <c r="A30" t="s">
        <v>203</v>
      </c>
      <c r="B30" t="s">
        <v>203</v>
      </c>
      <c r="C30" s="8">
        <v>45769</v>
      </c>
      <c r="D30" t="s">
        <v>27</v>
      </c>
      <c r="E30" t="s">
        <v>204</v>
      </c>
      <c r="F30" t="s">
        <v>155</v>
      </c>
      <c r="G30" t="s">
        <v>156</v>
      </c>
      <c r="H30" s="4">
        <v>1856.57</v>
      </c>
    </row>
    <row r="31" spans="1:8">
      <c r="A31" t="s">
        <v>205</v>
      </c>
      <c r="B31" t="s">
        <v>205</v>
      </c>
      <c r="C31" s="8">
        <v>45769</v>
      </c>
      <c r="D31" t="s">
        <v>26</v>
      </c>
      <c r="E31" t="s">
        <v>206</v>
      </c>
      <c r="F31" t="s">
        <v>155</v>
      </c>
      <c r="G31" t="s">
        <v>156</v>
      </c>
      <c r="H31" s="4">
        <v>7401.38</v>
      </c>
    </row>
    <row r="32" spans="1:8">
      <c r="A32" t="s">
        <v>207</v>
      </c>
      <c r="B32" t="s">
        <v>207</v>
      </c>
      <c r="C32" s="8">
        <v>45772</v>
      </c>
      <c r="D32" t="s">
        <v>28</v>
      </c>
      <c r="E32" t="s">
        <v>154</v>
      </c>
      <c r="F32" t="s">
        <v>155</v>
      </c>
      <c r="G32" t="s">
        <v>156</v>
      </c>
      <c r="H32" s="4">
        <v>2099.67</v>
      </c>
    </row>
    <row r="33" spans="1:8">
      <c r="A33" t="s">
        <v>208</v>
      </c>
      <c r="B33" t="s">
        <v>208</v>
      </c>
      <c r="C33" s="8">
        <v>45772</v>
      </c>
      <c r="D33" t="s">
        <v>4</v>
      </c>
      <c r="E33" t="s">
        <v>209</v>
      </c>
      <c r="F33" t="s">
        <v>155</v>
      </c>
      <c r="G33" t="s">
        <v>156</v>
      </c>
      <c r="H33" s="4">
        <v>788.24</v>
      </c>
    </row>
    <row r="34" spans="1:8">
      <c r="A34" t="s">
        <v>210</v>
      </c>
      <c r="B34" t="s">
        <v>210</v>
      </c>
      <c r="C34" s="8">
        <v>45772</v>
      </c>
      <c r="D34" t="s">
        <v>26</v>
      </c>
      <c r="E34" t="s">
        <v>211</v>
      </c>
      <c r="F34" t="s">
        <v>155</v>
      </c>
      <c r="G34" t="s">
        <v>156</v>
      </c>
      <c r="H34" s="4">
        <v>8006.66</v>
      </c>
    </row>
    <row r="35" spans="1:8">
      <c r="A35" t="s">
        <v>212</v>
      </c>
      <c r="B35" t="s">
        <v>212</v>
      </c>
      <c r="C35" s="8">
        <v>45772</v>
      </c>
      <c r="D35" t="s">
        <v>27</v>
      </c>
      <c r="E35" t="s">
        <v>161</v>
      </c>
      <c r="F35" t="s">
        <v>155</v>
      </c>
      <c r="G35" t="s">
        <v>156</v>
      </c>
      <c r="H35" s="4">
        <v>1807.83</v>
      </c>
    </row>
    <row r="36" spans="1:8">
      <c r="A36" t="s">
        <v>213</v>
      </c>
      <c r="B36" t="s">
        <v>213</v>
      </c>
      <c r="C36" s="8">
        <v>45772</v>
      </c>
      <c r="D36" t="s">
        <v>25</v>
      </c>
      <c r="E36" t="s">
        <v>214</v>
      </c>
      <c r="F36" t="s">
        <v>155</v>
      </c>
      <c r="G36" t="s">
        <v>156</v>
      </c>
      <c r="H36" s="4">
        <v>5562.78</v>
      </c>
    </row>
    <row r="37" spans="1:8">
      <c r="A37" t="s">
        <v>215</v>
      </c>
      <c r="B37" t="s">
        <v>215</v>
      </c>
      <c r="C37" s="8">
        <v>45779</v>
      </c>
      <c r="D37" t="s">
        <v>1</v>
      </c>
      <c r="E37" t="s">
        <v>158</v>
      </c>
      <c r="F37" t="s">
        <v>159</v>
      </c>
      <c r="G37" t="s">
        <v>159</v>
      </c>
      <c r="H37" s="4">
        <v>215500</v>
      </c>
    </row>
    <row r="38" spans="1:8">
      <c r="A38" t="s">
        <v>138</v>
      </c>
      <c r="B38" t="s">
        <v>138</v>
      </c>
      <c r="C38" s="8">
        <v>45780</v>
      </c>
      <c r="D38" t="s">
        <v>23</v>
      </c>
      <c r="E38" t="s">
        <v>135</v>
      </c>
      <c r="F38" t="s">
        <v>155</v>
      </c>
      <c r="G38" t="s">
        <v>156</v>
      </c>
      <c r="H38" s="4">
        <v>32000</v>
      </c>
    </row>
    <row r="39" spans="1:8">
      <c r="A39" t="s">
        <v>216</v>
      </c>
      <c r="B39" t="s">
        <v>216</v>
      </c>
      <c r="C39" s="8">
        <v>45780</v>
      </c>
      <c r="D39" t="s">
        <v>28</v>
      </c>
      <c r="E39" t="s">
        <v>154</v>
      </c>
      <c r="F39" t="s">
        <v>155</v>
      </c>
      <c r="G39" t="s">
        <v>156</v>
      </c>
      <c r="H39" s="4">
        <v>1718.46</v>
      </c>
    </row>
    <row r="40" spans="1:8">
      <c r="A40" t="s">
        <v>217</v>
      </c>
      <c r="B40" t="s">
        <v>217</v>
      </c>
      <c r="C40" s="8">
        <v>45782</v>
      </c>
      <c r="D40" t="s">
        <v>4</v>
      </c>
      <c r="E40" t="s">
        <v>174</v>
      </c>
      <c r="F40" t="s">
        <v>155</v>
      </c>
      <c r="G40" t="s">
        <v>156</v>
      </c>
      <c r="H40" s="4">
        <v>2760.91</v>
      </c>
    </row>
    <row r="41" spans="1:8">
      <c r="A41" t="s">
        <v>218</v>
      </c>
      <c r="B41" t="s">
        <v>218</v>
      </c>
      <c r="C41" s="8">
        <v>45782</v>
      </c>
      <c r="D41" t="s">
        <v>34</v>
      </c>
      <c r="E41" t="s">
        <v>198</v>
      </c>
      <c r="F41" t="s">
        <v>155</v>
      </c>
      <c r="G41" t="s">
        <v>156</v>
      </c>
      <c r="H41" s="4">
        <v>1580.37</v>
      </c>
    </row>
    <row r="42" spans="1:8">
      <c r="A42" t="s">
        <v>79</v>
      </c>
      <c r="B42" t="s">
        <v>79</v>
      </c>
      <c r="C42" s="8">
        <v>45782</v>
      </c>
      <c r="D42" t="s">
        <v>33</v>
      </c>
      <c r="E42" t="s">
        <v>80</v>
      </c>
      <c r="F42" t="s">
        <v>155</v>
      </c>
      <c r="G42" t="s">
        <v>156</v>
      </c>
      <c r="H42" s="4">
        <v>1198.71</v>
      </c>
    </row>
    <row r="43" spans="1:8">
      <c r="A43" t="s">
        <v>219</v>
      </c>
      <c r="B43" t="s">
        <v>219</v>
      </c>
      <c r="C43" s="8">
        <v>45782</v>
      </c>
      <c r="D43" t="s">
        <v>32</v>
      </c>
      <c r="E43" t="s">
        <v>202</v>
      </c>
      <c r="F43" t="s">
        <v>155</v>
      </c>
      <c r="G43" t="s">
        <v>156</v>
      </c>
      <c r="H43" s="4">
        <v>5706.18</v>
      </c>
    </row>
    <row r="44" spans="1:8">
      <c r="A44" t="s">
        <v>220</v>
      </c>
      <c r="B44" t="s">
        <v>220</v>
      </c>
      <c r="C44" s="8">
        <v>45782</v>
      </c>
      <c r="D44" t="s">
        <v>27</v>
      </c>
      <c r="E44" t="s">
        <v>221</v>
      </c>
      <c r="F44" t="s">
        <v>155</v>
      </c>
      <c r="G44" t="s">
        <v>156</v>
      </c>
      <c r="H44" s="4">
        <v>1957.13</v>
      </c>
    </row>
    <row r="45" spans="1:8">
      <c r="A45" t="s">
        <v>222</v>
      </c>
      <c r="B45" t="s">
        <v>222</v>
      </c>
      <c r="C45" s="8">
        <v>45782</v>
      </c>
      <c r="D45" t="s">
        <v>28</v>
      </c>
      <c r="E45" t="s">
        <v>154</v>
      </c>
      <c r="F45" t="s">
        <v>155</v>
      </c>
      <c r="G45" t="s">
        <v>156</v>
      </c>
      <c r="H45" s="4">
        <v>1123.69</v>
      </c>
    </row>
    <row r="46" spans="1:8">
      <c r="A46" t="s">
        <v>223</v>
      </c>
      <c r="B46" t="s">
        <v>223</v>
      </c>
      <c r="C46" s="8">
        <v>45782</v>
      </c>
      <c r="D46" t="s">
        <v>165</v>
      </c>
      <c r="E46" t="s">
        <v>166</v>
      </c>
      <c r="F46" t="s">
        <v>159</v>
      </c>
      <c r="G46" t="s">
        <v>159</v>
      </c>
      <c r="H46" s="4">
        <v>25500</v>
      </c>
    </row>
    <row r="47" spans="1:8">
      <c r="A47" t="s">
        <v>224</v>
      </c>
      <c r="B47" t="s">
        <v>224</v>
      </c>
      <c r="C47" s="8">
        <v>45782</v>
      </c>
      <c r="D47" t="s">
        <v>25</v>
      </c>
      <c r="E47" t="s">
        <v>225</v>
      </c>
      <c r="F47" t="s">
        <v>155</v>
      </c>
      <c r="G47" t="s">
        <v>156</v>
      </c>
      <c r="H47" s="4">
        <v>2527.55</v>
      </c>
    </row>
    <row r="48" spans="1:8">
      <c r="A48" t="s">
        <v>226</v>
      </c>
      <c r="B48" t="s">
        <v>226</v>
      </c>
      <c r="C48" s="8">
        <v>45782</v>
      </c>
      <c r="D48" t="s">
        <v>26</v>
      </c>
      <c r="E48" t="s">
        <v>211</v>
      </c>
      <c r="F48" t="s">
        <v>155</v>
      </c>
      <c r="G48" t="s">
        <v>156</v>
      </c>
      <c r="H48" s="4">
        <v>5786.74</v>
      </c>
    </row>
    <row r="49" spans="1:9">
      <c r="A49" t="s">
        <v>227</v>
      </c>
      <c r="B49" t="s">
        <v>227</v>
      </c>
      <c r="C49" s="8">
        <v>45783</v>
      </c>
      <c r="D49" t="s">
        <v>27</v>
      </c>
      <c r="E49" t="s">
        <v>179</v>
      </c>
      <c r="F49" t="s">
        <v>155</v>
      </c>
      <c r="G49" t="s">
        <v>156</v>
      </c>
      <c r="H49" s="4">
        <v>1386.42</v>
      </c>
    </row>
    <row r="50" spans="1:9">
      <c r="A50" t="s">
        <v>88</v>
      </c>
      <c r="B50" t="s">
        <v>88</v>
      </c>
      <c r="C50" s="8">
        <v>45784</v>
      </c>
      <c r="D50" t="s">
        <v>169</v>
      </c>
      <c r="E50" t="s">
        <v>86</v>
      </c>
      <c r="F50" t="s">
        <v>155</v>
      </c>
      <c r="G50" t="s">
        <v>170</v>
      </c>
      <c r="H50" s="4">
        <v>28500</v>
      </c>
    </row>
    <row r="51" spans="1:9">
      <c r="A51" t="s">
        <v>228</v>
      </c>
      <c r="B51" t="s">
        <v>228</v>
      </c>
      <c r="C51" s="8">
        <v>45785</v>
      </c>
      <c r="D51" t="s">
        <v>25</v>
      </c>
      <c r="E51" t="s">
        <v>214</v>
      </c>
      <c r="F51" t="s">
        <v>155</v>
      </c>
      <c r="G51" t="s">
        <v>156</v>
      </c>
      <c r="H51" s="4">
        <v>2823.19</v>
      </c>
    </row>
    <row r="52" spans="1:9">
      <c r="A52" t="s">
        <v>229</v>
      </c>
      <c r="B52" t="s">
        <v>229</v>
      </c>
      <c r="C52" s="8">
        <v>45785</v>
      </c>
      <c r="D52" t="s">
        <v>27</v>
      </c>
      <c r="E52" t="s">
        <v>179</v>
      </c>
      <c r="F52" t="s">
        <v>155</v>
      </c>
      <c r="G52" t="s">
        <v>156</v>
      </c>
      <c r="H52" s="4">
        <v>842.2</v>
      </c>
    </row>
    <row r="53" spans="1:9">
      <c r="A53" t="s">
        <v>230</v>
      </c>
      <c r="B53" t="s">
        <v>230</v>
      </c>
      <c r="C53" s="8">
        <v>45785</v>
      </c>
      <c r="D53" t="s">
        <v>28</v>
      </c>
      <c r="E53" t="s">
        <v>231</v>
      </c>
      <c r="F53" t="s">
        <v>155</v>
      </c>
      <c r="G53" t="s">
        <v>156</v>
      </c>
      <c r="H53" s="4">
        <v>1464.78</v>
      </c>
    </row>
    <row r="54" spans="1:9">
      <c r="A54" t="s">
        <v>232</v>
      </c>
      <c r="B54" t="s">
        <v>232</v>
      </c>
      <c r="C54" s="8">
        <v>45785</v>
      </c>
      <c r="D54" t="s">
        <v>26</v>
      </c>
      <c r="E54" t="s">
        <v>206</v>
      </c>
      <c r="F54" t="s">
        <v>155</v>
      </c>
      <c r="G54" t="s">
        <v>156</v>
      </c>
      <c r="H54" s="4">
        <v>7574.19</v>
      </c>
    </row>
    <row r="55" spans="1:9">
      <c r="A55" t="s">
        <v>233</v>
      </c>
      <c r="B55" t="s">
        <v>233</v>
      </c>
      <c r="C55" s="8">
        <v>45785</v>
      </c>
      <c r="D55" t="s">
        <v>169</v>
      </c>
      <c r="E55" t="s">
        <v>172</v>
      </c>
      <c r="F55" t="s">
        <v>155</v>
      </c>
      <c r="G55" t="s">
        <v>170</v>
      </c>
      <c r="H55" s="4">
        <v>11200</v>
      </c>
      <c r="I55" t="s">
        <v>234</v>
      </c>
    </row>
    <row r="56" spans="1:9">
      <c r="A56" t="s">
        <v>67</v>
      </c>
      <c r="B56" t="s">
        <v>67</v>
      </c>
      <c r="C56" s="8">
        <v>45787</v>
      </c>
      <c r="D56" t="s">
        <v>31</v>
      </c>
      <c r="E56" t="s">
        <v>65</v>
      </c>
      <c r="F56" t="s">
        <v>155</v>
      </c>
      <c r="G56" t="s">
        <v>156</v>
      </c>
      <c r="H56" s="4">
        <v>5500</v>
      </c>
    </row>
    <row r="57" spans="1:9">
      <c r="A57" t="s">
        <v>235</v>
      </c>
      <c r="B57" t="s">
        <v>235</v>
      </c>
      <c r="C57" s="8">
        <v>45788</v>
      </c>
      <c r="D57" t="s">
        <v>27</v>
      </c>
      <c r="E57" t="s">
        <v>161</v>
      </c>
      <c r="F57" t="s">
        <v>155</v>
      </c>
      <c r="G57" t="s">
        <v>156</v>
      </c>
      <c r="H57" s="4">
        <v>2828.36</v>
      </c>
    </row>
    <row r="58" spans="1:9">
      <c r="A58" t="s">
        <v>236</v>
      </c>
      <c r="B58" t="s">
        <v>236</v>
      </c>
      <c r="C58" s="8">
        <v>45788</v>
      </c>
      <c r="D58" t="s">
        <v>25</v>
      </c>
      <c r="E58" t="s">
        <v>163</v>
      </c>
      <c r="F58" t="s">
        <v>155</v>
      </c>
      <c r="G58" t="s">
        <v>156</v>
      </c>
      <c r="H58" s="4">
        <v>4522.15</v>
      </c>
    </row>
    <row r="59" spans="1:9">
      <c r="A59" t="s">
        <v>237</v>
      </c>
      <c r="B59" t="s">
        <v>237</v>
      </c>
      <c r="C59" s="8">
        <v>45789</v>
      </c>
      <c r="D59" t="s">
        <v>30</v>
      </c>
      <c r="E59" t="s">
        <v>177</v>
      </c>
      <c r="F59" t="s">
        <v>155</v>
      </c>
      <c r="G59" t="s">
        <v>156</v>
      </c>
      <c r="H59" s="4">
        <v>3700</v>
      </c>
    </row>
    <row r="60" spans="1:9">
      <c r="A60" t="s">
        <v>238</v>
      </c>
      <c r="B60" t="s">
        <v>238</v>
      </c>
      <c r="C60" s="8">
        <v>45790</v>
      </c>
      <c r="D60" t="s">
        <v>30</v>
      </c>
      <c r="E60" t="s">
        <v>181</v>
      </c>
      <c r="F60" t="s">
        <v>155</v>
      </c>
      <c r="G60" t="s">
        <v>156</v>
      </c>
      <c r="H60" s="4">
        <v>1200</v>
      </c>
    </row>
    <row r="61" spans="1:9">
      <c r="A61" t="s">
        <v>239</v>
      </c>
      <c r="B61" t="s">
        <v>239</v>
      </c>
      <c r="C61" s="8">
        <v>45791</v>
      </c>
      <c r="D61" t="s">
        <v>25</v>
      </c>
      <c r="E61" t="s">
        <v>163</v>
      </c>
      <c r="F61" t="s">
        <v>155</v>
      </c>
      <c r="G61" t="s">
        <v>156</v>
      </c>
      <c r="H61" s="4">
        <v>5315.49</v>
      </c>
    </row>
    <row r="62" spans="1:9">
      <c r="A62" t="s">
        <v>240</v>
      </c>
      <c r="B62" t="s">
        <v>240</v>
      </c>
      <c r="C62" s="8">
        <v>45791</v>
      </c>
      <c r="D62" t="s">
        <v>30</v>
      </c>
      <c r="E62" t="s">
        <v>183</v>
      </c>
      <c r="F62" t="s">
        <v>155</v>
      </c>
      <c r="G62" t="s">
        <v>156</v>
      </c>
      <c r="H62" s="4">
        <v>900</v>
      </c>
    </row>
    <row r="63" spans="1:9">
      <c r="A63" t="s">
        <v>241</v>
      </c>
      <c r="B63" t="s">
        <v>241</v>
      </c>
      <c r="C63" s="8">
        <v>45792</v>
      </c>
      <c r="D63" t="s">
        <v>4</v>
      </c>
      <c r="E63" t="s">
        <v>209</v>
      </c>
      <c r="F63" t="s">
        <v>155</v>
      </c>
      <c r="G63" t="s">
        <v>156</v>
      </c>
      <c r="H63" s="4">
        <v>1056.47</v>
      </c>
    </row>
    <row r="64" spans="1:9">
      <c r="A64" t="s">
        <v>105</v>
      </c>
      <c r="B64" t="s">
        <v>105</v>
      </c>
      <c r="C64" s="8">
        <v>45792</v>
      </c>
      <c r="D64" t="s">
        <v>184</v>
      </c>
      <c r="E64" t="s">
        <v>101</v>
      </c>
      <c r="F64" t="s">
        <v>155</v>
      </c>
      <c r="G64" t="s">
        <v>185</v>
      </c>
      <c r="H64" s="4">
        <v>20000</v>
      </c>
    </row>
    <row r="65" spans="1:8">
      <c r="A65" t="s">
        <v>106</v>
      </c>
      <c r="B65" t="s">
        <v>106</v>
      </c>
      <c r="C65" s="8">
        <v>45793</v>
      </c>
      <c r="D65" t="s">
        <v>184</v>
      </c>
      <c r="E65" t="s">
        <v>104</v>
      </c>
      <c r="F65" t="s">
        <v>155</v>
      </c>
      <c r="G65" t="s">
        <v>185</v>
      </c>
      <c r="H65" s="4">
        <v>10000</v>
      </c>
    </row>
    <row r="66" spans="1:8">
      <c r="A66" t="s">
        <v>242</v>
      </c>
      <c r="B66" t="s">
        <v>242</v>
      </c>
      <c r="C66" s="8">
        <v>45794</v>
      </c>
      <c r="D66" t="s">
        <v>25</v>
      </c>
      <c r="E66" t="s">
        <v>163</v>
      </c>
      <c r="F66" t="s">
        <v>155</v>
      </c>
      <c r="G66" t="s">
        <v>156</v>
      </c>
      <c r="H66" s="4">
        <v>2035.67</v>
      </c>
    </row>
    <row r="67" spans="1:8">
      <c r="A67" t="s">
        <v>243</v>
      </c>
      <c r="B67" t="s">
        <v>243</v>
      </c>
      <c r="C67" s="8">
        <v>45795</v>
      </c>
      <c r="D67" t="s">
        <v>28</v>
      </c>
      <c r="E67" t="s">
        <v>231</v>
      </c>
      <c r="F67" t="s">
        <v>155</v>
      </c>
      <c r="G67" t="s">
        <v>156</v>
      </c>
      <c r="H67" s="4">
        <v>1597.96</v>
      </c>
    </row>
    <row r="68" spans="1:8">
      <c r="A68" t="s">
        <v>244</v>
      </c>
      <c r="B68" t="s">
        <v>244</v>
      </c>
      <c r="C68" s="8">
        <v>45798</v>
      </c>
      <c r="D68" t="s">
        <v>28</v>
      </c>
      <c r="E68" t="s">
        <v>231</v>
      </c>
      <c r="F68" t="s">
        <v>155</v>
      </c>
      <c r="G68" t="s">
        <v>156</v>
      </c>
      <c r="H68" s="4">
        <v>369.72</v>
      </c>
    </row>
    <row r="69" spans="1:8">
      <c r="A69" t="s">
        <v>245</v>
      </c>
      <c r="B69" t="s">
        <v>245</v>
      </c>
      <c r="C69" s="8">
        <v>45799</v>
      </c>
      <c r="D69" t="s">
        <v>169</v>
      </c>
      <c r="E69" t="s">
        <v>190</v>
      </c>
      <c r="F69" t="s">
        <v>155</v>
      </c>
      <c r="G69" t="s">
        <v>170</v>
      </c>
      <c r="H69" s="4">
        <v>6225.56</v>
      </c>
    </row>
    <row r="70" spans="1:8">
      <c r="A70" t="s">
        <v>246</v>
      </c>
      <c r="B70" t="s">
        <v>246</v>
      </c>
      <c r="C70" s="8">
        <v>45804</v>
      </c>
      <c r="D70" t="s">
        <v>4</v>
      </c>
      <c r="E70" t="s">
        <v>200</v>
      </c>
      <c r="F70" t="s">
        <v>155</v>
      </c>
      <c r="G70" t="s">
        <v>156</v>
      </c>
      <c r="H70" s="4">
        <v>2189.79</v>
      </c>
    </row>
    <row r="71" spans="1:8">
      <c r="A71" t="s">
        <v>247</v>
      </c>
      <c r="B71" t="s">
        <v>247</v>
      </c>
      <c r="C71" s="8">
        <v>45810</v>
      </c>
      <c r="D71" t="s">
        <v>1</v>
      </c>
      <c r="E71" t="s">
        <v>158</v>
      </c>
      <c r="F71" t="s">
        <v>159</v>
      </c>
      <c r="G71" t="s">
        <v>159</v>
      </c>
      <c r="H71" s="4">
        <v>217000</v>
      </c>
    </row>
    <row r="72" spans="1:8">
      <c r="A72" t="s">
        <v>139</v>
      </c>
      <c r="B72" t="s">
        <v>139</v>
      </c>
      <c r="C72" s="8">
        <v>45811</v>
      </c>
      <c r="D72" t="s">
        <v>23</v>
      </c>
      <c r="E72" t="s">
        <v>135</v>
      </c>
      <c r="F72" t="s">
        <v>155</v>
      </c>
      <c r="G72" t="s">
        <v>156</v>
      </c>
      <c r="H72" s="4">
        <v>32000</v>
      </c>
    </row>
    <row r="73" spans="1:8">
      <c r="A73" t="s">
        <v>248</v>
      </c>
      <c r="B73" t="s">
        <v>248</v>
      </c>
      <c r="C73" s="8">
        <v>45813</v>
      </c>
      <c r="D73" t="s">
        <v>4</v>
      </c>
      <c r="E73" t="s">
        <v>200</v>
      </c>
      <c r="F73" t="s">
        <v>155</v>
      </c>
      <c r="G73" t="s">
        <v>156</v>
      </c>
      <c r="H73" s="4">
        <v>1260.55</v>
      </c>
    </row>
    <row r="74" spans="1:8">
      <c r="A74" t="s">
        <v>249</v>
      </c>
      <c r="B74" t="s">
        <v>249</v>
      </c>
      <c r="C74" s="8">
        <v>45813</v>
      </c>
      <c r="D74" t="s">
        <v>165</v>
      </c>
      <c r="E74" t="s">
        <v>166</v>
      </c>
      <c r="F74" t="s">
        <v>159</v>
      </c>
      <c r="G74" t="s">
        <v>159</v>
      </c>
      <c r="H74" s="4">
        <v>18000</v>
      </c>
    </row>
    <row r="75" spans="1:8">
      <c r="A75" t="s">
        <v>89</v>
      </c>
      <c r="B75" t="s">
        <v>89</v>
      </c>
      <c r="C75" s="8">
        <v>45815</v>
      </c>
      <c r="D75" t="s">
        <v>169</v>
      </c>
      <c r="E75" t="s">
        <v>86</v>
      </c>
      <c r="F75" t="s">
        <v>155</v>
      </c>
      <c r="G75" t="s">
        <v>170</v>
      </c>
      <c r="H75" s="4">
        <v>28500</v>
      </c>
    </row>
    <row r="76" spans="1:8">
      <c r="A76" t="s">
        <v>250</v>
      </c>
      <c r="B76" t="s">
        <v>250</v>
      </c>
      <c r="C76" s="8">
        <v>45816</v>
      </c>
      <c r="D76" t="s">
        <v>4</v>
      </c>
      <c r="E76" t="s">
        <v>209</v>
      </c>
      <c r="F76" t="s">
        <v>155</v>
      </c>
      <c r="G76" t="s">
        <v>156</v>
      </c>
      <c r="H76" s="4">
        <v>1189.83</v>
      </c>
    </row>
    <row r="77" spans="1:8">
      <c r="A77" t="s">
        <v>251</v>
      </c>
      <c r="B77" t="s">
        <v>251</v>
      </c>
      <c r="C77" s="8">
        <v>45816</v>
      </c>
      <c r="D77" t="s">
        <v>169</v>
      </c>
      <c r="E77" t="s">
        <v>172</v>
      </c>
      <c r="F77" t="s">
        <v>155</v>
      </c>
      <c r="G77" t="s">
        <v>170</v>
      </c>
      <c r="H77" s="4">
        <v>11200</v>
      </c>
    </row>
    <row r="78" spans="1:8">
      <c r="A78" t="s">
        <v>68</v>
      </c>
      <c r="B78" t="s">
        <v>68</v>
      </c>
      <c r="C78" s="8">
        <v>45818</v>
      </c>
      <c r="D78" t="s">
        <v>31</v>
      </c>
      <c r="E78" t="s">
        <v>65</v>
      </c>
      <c r="F78" t="s">
        <v>155</v>
      </c>
      <c r="G78" t="s">
        <v>156</v>
      </c>
      <c r="H78" s="4">
        <v>5500</v>
      </c>
    </row>
    <row r="79" spans="1:8">
      <c r="A79" t="s">
        <v>252</v>
      </c>
      <c r="B79" t="s">
        <v>252</v>
      </c>
      <c r="C79" s="8">
        <v>45819</v>
      </c>
      <c r="D79" t="s">
        <v>27</v>
      </c>
      <c r="E79" t="s">
        <v>221</v>
      </c>
      <c r="F79" t="s">
        <v>155</v>
      </c>
      <c r="G79" t="s">
        <v>156</v>
      </c>
      <c r="H79" s="4">
        <v>382.93</v>
      </c>
    </row>
    <row r="80" spans="1:8">
      <c r="A80" t="s">
        <v>82</v>
      </c>
      <c r="B80" t="s">
        <v>82</v>
      </c>
      <c r="C80" s="8">
        <v>45820</v>
      </c>
      <c r="D80" t="s">
        <v>33</v>
      </c>
      <c r="E80" t="s">
        <v>80</v>
      </c>
      <c r="F80" t="s">
        <v>155</v>
      </c>
      <c r="G80" t="s">
        <v>156</v>
      </c>
      <c r="H80" s="4">
        <v>5085.52</v>
      </c>
    </row>
    <row r="81" spans="1:8">
      <c r="A81" t="s">
        <v>253</v>
      </c>
      <c r="B81" t="s">
        <v>253</v>
      </c>
      <c r="C81" s="8">
        <v>45820</v>
      </c>
      <c r="D81" t="s">
        <v>4</v>
      </c>
      <c r="E81" t="s">
        <v>209</v>
      </c>
      <c r="F81" t="s">
        <v>155</v>
      </c>
      <c r="G81" t="s">
        <v>156</v>
      </c>
      <c r="H81" s="4">
        <v>4255.72</v>
      </c>
    </row>
    <row r="82" spans="1:8">
      <c r="A82" t="s">
        <v>254</v>
      </c>
      <c r="B82" t="s">
        <v>254</v>
      </c>
      <c r="C82" s="8">
        <v>45820</v>
      </c>
      <c r="D82" t="s">
        <v>30</v>
      </c>
      <c r="E82" t="s">
        <v>177</v>
      </c>
      <c r="F82" t="s">
        <v>155</v>
      </c>
      <c r="G82" t="s">
        <v>156</v>
      </c>
      <c r="H82" s="4">
        <v>3950</v>
      </c>
    </row>
    <row r="83" spans="1:8">
      <c r="A83" t="s">
        <v>255</v>
      </c>
      <c r="B83" t="s">
        <v>255</v>
      </c>
      <c r="C83" s="8">
        <v>45820</v>
      </c>
      <c r="D83" t="s">
        <v>27</v>
      </c>
      <c r="E83" t="s">
        <v>179</v>
      </c>
      <c r="F83" t="s">
        <v>155</v>
      </c>
      <c r="G83" t="s">
        <v>156</v>
      </c>
      <c r="H83" s="4">
        <v>1964.71</v>
      </c>
    </row>
    <row r="84" spans="1:8">
      <c r="A84" t="s">
        <v>256</v>
      </c>
      <c r="B84" t="s">
        <v>256</v>
      </c>
      <c r="C84" s="8">
        <v>45820</v>
      </c>
      <c r="D84" t="s">
        <v>26</v>
      </c>
      <c r="E84" t="s">
        <v>257</v>
      </c>
      <c r="F84" t="s">
        <v>155</v>
      </c>
      <c r="G84" t="s">
        <v>156</v>
      </c>
      <c r="H84" s="4">
        <v>3709.42</v>
      </c>
    </row>
    <row r="85" spans="1:8">
      <c r="A85" t="s">
        <v>258</v>
      </c>
      <c r="B85" t="s">
        <v>258</v>
      </c>
      <c r="C85" s="8">
        <v>45820</v>
      </c>
      <c r="D85" t="s">
        <v>28</v>
      </c>
      <c r="E85" t="s">
        <v>231</v>
      </c>
      <c r="F85" t="s">
        <v>155</v>
      </c>
      <c r="G85" t="s">
        <v>156</v>
      </c>
      <c r="H85" s="4">
        <v>1616.8</v>
      </c>
    </row>
    <row r="86" spans="1:8">
      <c r="A86" t="s">
        <v>259</v>
      </c>
      <c r="B86" t="s">
        <v>259</v>
      </c>
      <c r="C86" s="8">
        <v>45820</v>
      </c>
      <c r="D86" t="s">
        <v>34</v>
      </c>
      <c r="E86" t="s">
        <v>260</v>
      </c>
      <c r="F86" t="s">
        <v>155</v>
      </c>
      <c r="G86" t="s">
        <v>156</v>
      </c>
      <c r="H86" s="4">
        <v>2656.69</v>
      </c>
    </row>
    <row r="87" spans="1:8">
      <c r="A87" t="s">
        <v>261</v>
      </c>
      <c r="B87" t="s">
        <v>261</v>
      </c>
      <c r="C87" s="8">
        <v>45820</v>
      </c>
      <c r="D87" t="s">
        <v>25</v>
      </c>
      <c r="E87" t="s">
        <v>214</v>
      </c>
      <c r="F87" t="s">
        <v>155</v>
      </c>
      <c r="G87" t="s">
        <v>156</v>
      </c>
      <c r="H87" s="4">
        <v>2921.82</v>
      </c>
    </row>
    <row r="88" spans="1:8">
      <c r="A88" t="s">
        <v>128</v>
      </c>
      <c r="B88" t="s">
        <v>128</v>
      </c>
      <c r="C88" s="8">
        <v>45820</v>
      </c>
      <c r="D88" t="s">
        <v>32</v>
      </c>
      <c r="E88" t="s">
        <v>129</v>
      </c>
      <c r="F88" t="s">
        <v>155</v>
      </c>
      <c r="G88" t="s">
        <v>156</v>
      </c>
      <c r="H88" s="4">
        <v>2690.1</v>
      </c>
    </row>
    <row r="89" spans="1:8">
      <c r="A89" t="s">
        <v>262</v>
      </c>
      <c r="B89" t="s">
        <v>262</v>
      </c>
      <c r="C89" s="8">
        <v>45821</v>
      </c>
      <c r="D89" t="s">
        <v>30</v>
      </c>
      <c r="E89" t="s">
        <v>181</v>
      </c>
      <c r="F89" t="s">
        <v>155</v>
      </c>
      <c r="G89" t="s">
        <v>156</v>
      </c>
      <c r="H89" s="4">
        <v>1200</v>
      </c>
    </row>
    <row r="90" spans="1:8">
      <c r="A90" t="s">
        <v>263</v>
      </c>
      <c r="B90" t="s">
        <v>263</v>
      </c>
      <c r="C90" s="8">
        <v>45822</v>
      </c>
      <c r="D90" t="s">
        <v>30</v>
      </c>
      <c r="E90" t="s">
        <v>183</v>
      </c>
      <c r="F90" t="s">
        <v>155</v>
      </c>
      <c r="G90" t="s">
        <v>156</v>
      </c>
      <c r="H90" s="4">
        <v>900</v>
      </c>
    </row>
    <row r="91" spans="1:8">
      <c r="A91" t="s">
        <v>107</v>
      </c>
      <c r="B91" t="s">
        <v>107</v>
      </c>
      <c r="C91" s="8">
        <v>45823</v>
      </c>
      <c r="D91" t="s">
        <v>184</v>
      </c>
      <c r="E91" t="s">
        <v>101</v>
      </c>
      <c r="F91" t="s">
        <v>155</v>
      </c>
      <c r="G91" t="s">
        <v>185</v>
      </c>
      <c r="H91" s="4">
        <v>20000</v>
      </c>
    </row>
    <row r="92" spans="1:8">
      <c r="A92" t="s">
        <v>264</v>
      </c>
      <c r="B92" t="s">
        <v>264</v>
      </c>
      <c r="C92" s="8">
        <v>45823</v>
      </c>
      <c r="D92" t="s">
        <v>27</v>
      </c>
      <c r="E92" t="s">
        <v>179</v>
      </c>
      <c r="F92" t="s">
        <v>155</v>
      </c>
      <c r="G92" t="s">
        <v>156</v>
      </c>
      <c r="H92" s="4">
        <v>3033.15</v>
      </c>
    </row>
    <row r="93" spans="1:8">
      <c r="A93" t="s">
        <v>265</v>
      </c>
      <c r="B93" t="s">
        <v>265</v>
      </c>
      <c r="C93" s="8">
        <v>45823</v>
      </c>
      <c r="D93" t="s">
        <v>26</v>
      </c>
      <c r="E93" t="s">
        <v>257</v>
      </c>
      <c r="F93" t="s">
        <v>155</v>
      </c>
      <c r="G93" t="s">
        <v>156</v>
      </c>
      <c r="H93" s="4">
        <v>7386.09</v>
      </c>
    </row>
    <row r="94" spans="1:8">
      <c r="A94" t="s">
        <v>266</v>
      </c>
      <c r="B94" t="s">
        <v>266</v>
      </c>
      <c r="C94" s="8">
        <v>45823</v>
      </c>
      <c r="D94" t="s">
        <v>28</v>
      </c>
      <c r="E94" t="s">
        <v>231</v>
      </c>
      <c r="F94" t="s">
        <v>155</v>
      </c>
      <c r="G94" t="s">
        <v>156</v>
      </c>
      <c r="H94" s="4">
        <v>2228.14</v>
      </c>
    </row>
    <row r="95" spans="1:8">
      <c r="A95" t="s">
        <v>267</v>
      </c>
      <c r="B95" t="s">
        <v>267</v>
      </c>
      <c r="C95" s="8">
        <v>45823</v>
      </c>
      <c r="D95" t="s">
        <v>25</v>
      </c>
      <c r="E95" t="s">
        <v>225</v>
      </c>
      <c r="F95" t="s">
        <v>155</v>
      </c>
      <c r="G95" t="s">
        <v>156</v>
      </c>
      <c r="H95" s="4">
        <v>2415.13</v>
      </c>
    </row>
    <row r="96" spans="1:8">
      <c r="A96" t="s">
        <v>108</v>
      </c>
      <c r="B96" t="s">
        <v>108</v>
      </c>
      <c r="C96" s="8">
        <v>45824</v>
      </c>
      <c r="D96" t="s">
        <v>184</v>
      </c>
      <c r="E96" t="s">
        <v>104</v>
      </c>
      <c r="F96" t="s">
        <v>155</v>
      </c>
      <c r="G96" t="s">
        <v>185</v>
      </c>
      <c r="H96" s="4">
        <v>10000</v>
      </c>
    </row>
    <row r="97" spans="1:8">
      <c r="A97" t="s">
        <v>268</v>
      </c>
      <c r="B97" t="s">
        <v>268</v>
      </c>
      <c r="C97" s="8">
        <v>45826</v>
      </c>
      <c r="D97" t="s">
        <v>27</v>
      </c>
      <c r="E97" t="s">
        <v>161</v>
      </c>
      <c r="F97" t="s">
        <v>155</v>
      </c>
      <c r="G97" t="s">
        <v>156</v>
      </c>
      <c r="H97" s="4">
        <v>2898.18</v>
      </c>
    </row>
    <row r="98" spans="1:8">
      <c r="A98" t="s">
        <v>269</v>
      </c>
      <c r="B98" t="s">
        <v>269</v>
      </c>
      <c r="C98" s="8">
        <v>45826</v>
      </c>
      <c r="D98" t="s">
        <v>25</v>
      </c>
      <c r="E98" t="s">
        <v>214</v>
      </c>
      <c r="F98" t="s">
        <v>155</v>
      </c>
      <c r="G98" t="s">
        <v>156</v>
      </c>
      <c r="H98" s="4">
        <v>3948.96</v>
      </c>
    </row>
    <row r="99" spans="1:8">
      <c r="A99" t="s">
        <v>270</v>
      </c>
      <c r="B99" t="s">
        <v>270</v>
      </c>
      <c r="C99" s="8">
        <v>45828</v>
      </c>
      <c r="D99" t="s">
        <v>27</v>
      </c>
      <c r="E99" t="s">
        <v>161</v>
      </c>
      <c r="F99" t="s">
        <v>155</v>
      </c>
      <c r="G99" t="s">
        <v>156</v>
      </c>
      <c r="H99" s="4">
        <v>2103.12</v>
      </c>
    </row>
    <row r="100" spans="1:8">
      <c r="A100" t="s">
        <v>271</v>
      </c>
      <c r="B100" t="s">
        <v>271</v>
      </c>
      <c r="C100" s="8">
        <v>45829</v>
      </c>
      <c r="D100" t="s">
        <v>25</v>
      </c>
      <c r="E100" t="s">
        <v>163</v>
      </c>
      <c r="F100" t="s">
        <v>155</v>
      </c>
      <c r="G100" t="s">
        <v>156</v>
      </c>
      <c r="H100" s="4">
        <v>1843.78</v>
      </c>
    </row>
    <row r="101" spans="1:8">
      <c r="A101" t="s">
        <v>272</v>
      </c>
      <c r="B101" t="s">
        <v>272</v>
      </c>
      <c r="C101" s="8">
        <v>45830</v>
      </c>
      <c r="D101" t="s">
        <v>169</v>
      </c>
      <c r="E101" t="s">
        <v>190</v>
      </c>
      <c r="F101" t="s">
        <v>155</v>
      </c>
      <c r="G101" t="s">
        <v>170</v>
      </c>
      <c r="H101" s="4">
        <v>10338.28</v>
      </c>
    </row>
    <row r="102" spans="1:8">
      <c r="A102" t="s">
        <v>273</v>
      </c>
      <c r="B102" t="s">
        <v>273</v>
      </c>
      <c r="C102" s="8">
        <v>45831</v>
      </c>
      <c r="D102" t="s">
        <v>28</v>
      </c>
      <c r="E102" t="s">
        <v>231</v>
      </c>
      <c r="F102" t="s">
        <v>155</v>
      </c>
      <c r="G102" t="s">
        <v>156</v>
      </c>
      <c r="H102" s="4">
        <v>571.92</v>
      </c>
    </row>
    <row r="103" spans="1:8">
      <c r="A103" t="s">
        <v>274</v>
      </c>
      <c r="B103" t="s">
        <v>274</v>
      </c>
      <c r="C103" s="8">
        <v>45832</v>
      </c>
      <c r="D103" t="s">
        <v>25</v>
      </c>
      <c r="E103" t="s">
        <v>163</v>
      </c>
      <c r="F103" t="s">
        <v>155</v>
      </c>
      <c r="G103" t="s">
        <v>156</v>
      </c>
      <c r="H103" s="4">
        <v>2144.33</v>
      </c>
    </row>
    <row r="104" spans="1:8">
      <c r="A104" t="s">
        <v>275</v>
      </c>
      <c r="B104" t="s">
        <v>275</v>
      </c>
      <c r="C104" s="8">
        <v>45834</v>
      </c>
      <c r="D104" t="s">
        <v>25</v>
      </c>
      <c r="E104" t="s">
        <v>214</v>
      </c>
      <c r="F104" t="s">
        <v>155</v>
      </c>
      <c r="G104" t="s">
        <v>156</v>
      </c>
      <c r="H104" s="4">
        <v>779.5599999999999</v>
      </c>
    </row>
    <row r="105" spans="1:8">
      <c r="A105" t="s">
        <v>276</v>
      </c>
      <c r="B105" t="s">
        <v>276</v>
      </c>
      <c r="C105" s="8">
        <v>45839</v>
      </c>
      <c r="D105" t="s">
        <v>28</v>
      </c>
      <c r="E105" t="s">
        <v>231</v>
      </c>
      <c r="F105" t="s">
        <v>155</v>
      </c>
      <c r="G105" t="s">
        <v>156</v>
      </c>
      <c r="H105" s="4">
        <v>782.5599999999999</v>
      </c>
    </row>
    <row r="106" spans="1:8">
      <c r="A106" t="s">
        <v>277</v>
      </c>
      <c r="B106" t="s">
        <v>277</v>
      </c>
      <c r="C106" s="8">
        <v>45840</v>
      </c>
      <c r="D106" t="s">
        <v>1</v>
      </c>
      <c r="E106" t="s">
        <v>158</v>
      </c>
      <c r="F106" t="s">
        <v>159</v>
      </c>
      <c r="G106" t="s">
        <v>159</v>
      </c>
      <c r="H106" s="4">
        <v>218500</v>
      </c>
    </row>
    <row r="107" spans="1:8">
      <c r="A107" t="s">
        <v>140</v>
      </c>
      <c r="B107" t="s">
        <v>140</v>
      </c>
      <c r="C107" s="8">
        <v>45841</v>
      </c>
      <c r="D107" t="s">
        <v>23</v>
      </c>
      <c r="E107" t="s">
        <v>135</v>
      </c>
      <c r="F107" t="s">
        <v>155</v>
      </c>
      <c r="G107" t="s">
        <v>156</v>
      </c>
      <c r="H107" s="4">
        <v>32000</v>
      </c>
    </row>
    <row r="108" spans="1:8">
      <c r="A108" t="s">
        <v>278</v>
      </c>
      <c r="B108" t="s">
        <v>278</v>
      </c>
      <c r="C108" s="8">
        <v>45842</v>
      </c>
      <c r="D108" t="s">
        <v>25</v>
      </c>
      <c r="E108" t="s">
        <v>225</v>
      </c>
      <c r="F108" t="s">
        <v>155</v>
      </c>
      <c r="G108" t="s">
        <v>156</v>
      </c>
      <c r="H108" s="4">
        <v>1943.33</v>
      </c>
    </row>
    <row r="109" spans="1:8">
      <c r="A109" t="s">
        <v>279</v>
      </c>
      <c r="B109" t="s">
        <v>279</v>
      </c>
      <c r="C109" s="8">
        <v>45842</v>
      </c>
      <c r="D109" t="s">
        <v>25</v>
      </c>
      <c r="E109" t="s">
        <v>214</v>
      </c>
      <c r="F109" t="s">
        <v>155</v>
      </c>
      <c r="G109" t="s">
        <v>156</v>
      </c>
      <c r="H109" s="4">
        <v>4175.42</v>
      </c>
    </row>
    <row r="110" spans="1:8">
      <c r="A110" t="s">
        <v>280</v>
      </c>
      <c r="B110" t="s">
        <v>280</v>
      </c>
      <c r="C110" s="8">
        <v>45843</v>
      </c>
      <c r="D110" t="s">
        <v>165</v>
      </c>
      <c r="E110" t="s">
        <v>166</v>
      </c>
      <c r="F110" t="s">
        <v>159</v>
      </c>
      <c r="G110" t="s">
        <v>159</v>
      </c>
      <c r="H110" s="4">
        <v>20500</v>
      </c>
    </row>
    <row r="111" spans="1:8">
      <c r="A111" t="s">
        <v>90</v>
      </c>
      <c r="B111" t="s">
        <v>90</v>
      </c>
      <c r="C111" s="8">
        <v>45845</v>
      </c>
      <c r="D111" t="s">
        <v>169</v>
      </c>
      <c r="E111" t="s">
        <v>86</v>
      </c>
      <c r="F111" t="s">
        <v>155</v>
      </c>
      <c r="G111" t="s">
        <v>170</v>
      </c>
      <c r="H111" s="4">
        <v>28500</v>
      </c>
    </row>
    <row r="112" spans="1:8">
      <c r="A112" t="s">
        <v>281</v>
      </c>
      <c r="B112" t="s">
        <v>281</v>
      </c>
      <c r="C112" s="8">
        <v>45845</v>
      </c>
      <c r="D112" t="s">
        <v>25</v>
      </c>
      <c r="E112" t="s">
        <v>214</v>
      </c>
      <c r="F112" t="s">
        <v>155</v>
      </c>
      <c r="G112" t="s">
        <v>156</v>
      </c>
      <c r="H112" s="4">
        <v>6055.08</v>
      </c>
    </row>
    <row r="113" spans="1:8">
      <c r="A113" t="s">
        <v>282</v>
      </c>
      <c r="B113" t="s">
        <v>282</v>
      </c>
      <c r="C113" s="8">
        <v>45846</v>
      </c>
      <c r="D113" t="s">
        <v>169</v>
      </c>
      <c r="E113" t="s">
        <v>172</v>
      </c>
      <c r="F113" t="s">
        <v>155</v>
      </c>
      <c r="G113" t="s">
        <v>170</v>
      </c>
      <c r="H113" s="4">
        <v>11200</v>
      </c>
    </row>
    <row r="114" spans="1:8">
      <c r="A114" t="s">
        <v>283</v>
      </c>
      <c r="B114" t="s">
        <v>283</v>
      </c>
      <c r="C114" s="8">
        <v>45848</v>
      </c>
      <c r="D114" t="s">
        <v>28</v>
      </c>
      <c r="E114" t="s">
        <v>194</v>
      </c>
      <c r="F114" t="s">
        <v>155</v>
      </c>
      <c r="G114" t="s">
        <v>156</v>
      </c>
      <c r="H114" s="4">
        <v>1806.88</v>
      </c>
    </row>
    <row r="115" spans="1:8">
      <c r="A115" t="s">
        <v>69</v>
      </c>
      <c r="B115" t="s">
        <v>69</v>
      </c>
      <c r="C115" s="8">
        <v>45848</v>
      </c>
      <c r="D115" t="s">
        <v>31</v>
      </c>
      <c r="E115" t="s">
        <v>65</v>
      </c>
      <c r="F115" t="s">
        <v>155</v>
      </c>
      <c r="G115" t="s">
        <v>156</v>
      </c>
      <c r="H115" s="4">
        <v>5500</v>
      </c>
    </row>
    <row r="116" spans="1:8">
      <c r="A116" t="s">
        <v>284</v>
      </c>
      <c r="B116" t="s">
        <v>284</v>
      </c>
      <c r="C116" s="8">
        <v>45850</v>
      </c>
      <c r="D116" t="s">
        <v>30</v>
      </c>
      <c r="E116" t="s">
        <v>177</v>
      </c>
      <c r="F116" t="s">
        <v>155</v>
      </c>
      <c r="G116" t="s">
        <v>156</v>
      </c>
      <c r="H116" s="4">
        <v>4200</v>
      </c>
    </row>
    <row r="117" spans="1:8">
      <c r="A117" t="s">
        <v>285</v>
      </c>
      <c r="B117" t="s">
        <v>285</v>
      </c>
      <c r="C117" s="8">
        <v>45851</v>
      </c>
      <c r="D117" t="s">
        <v>30</v>
      </c>
      <c r="E117" t="s">
        <v>181</v>
      </c>
      <c r="F117" t="s">
        <v>155</v>
      </c>
      <c r="G117" t="s">
        <v>156</v>
      </c>
      <c r="H117" s="4">
        <v>1200</v>
      </c>
    </row>
    <row r="118" spans="1:8">
      <c r="A118" t="s">
        <v>286</v>
      </c>
      <c r="B118" t="s">
        <v>286</v>
      </c>
      <c r="C118" s="8">
        <v>45851</v>
      </c>
      <c r="D118" t="s">
        <v>25</v>
      </c>
      <c r="E118" t="s">
        <v>168</v>
      </c>
      <c r="F118" t="s">
        <v>155</v>
      </c>
      <c r="G118" t="s">
        <v>156</v>
      </c>
      <c r="H118" s="4">
        <v>1732.89</v>
      </c>
    </row>
    <row r="119" spans="1:8">
      <c r="A119" t="s">
        <v>287</v>
      </c>
      <c r="B119" t="s">
        <v>287</v>
      </c>
      <c r="C119" s="8">
        <v>45852</v>
      </c>
      <c r="D119" t="s">
        <v>30</v>
      </c>
      <c r="E119" t="s">
        <v>183</v>
      </c>
      <c r="F119" t="s">
        <v>155</v>
      </c>
      <c r="G119" t="s">
        <v>156</v>
      </c>
      <c r="H119" s="4">
        <v>900</v>
      </c>
    </row>
    <row r="120" spans="1:8">
      <c r="A120" t="s">
        <v>109</v>
      </c>
      <c r="B120" t="s">
        <v>109</v>
      </c>
      <c r="C120" s="8">
        <v>45853</v>
      </c>
      <c r="D120" t="s">
        <v>184</v>
      </c>
      <c r="E120" t="s">
        <v>101</v>
      </c>
      <c r="F120" t="s">
        <v>155</v>
      </c>
      <c r="G120" t="s">
        <v>185</v>
      </c>
      <c r="H120" s="4">
        <v>20000</v>
      </c>
    </row>
    <row r="121" spans="1:8">
      <c r="A121" t="s">
        <v>110</v>
      </c>
      <c r="B121" t="s">
        <v>110</v>
      </c>
      <c r="C121" s="8">
        <v>45854</v>
      </c>
      <c r="D121" t="s">
        <v>184</v>
      </c>
      <c r="E121" t="s">
        <v>104</v>
      </c>
      <c r="F121" t="s">
        <v>155</v>
      </c>
      <c r="G121" t="s">
        <v>185</v>
      </c>
      <c r="H121" s="4">
        <v>15000</v>
      </c>
    </row>
    <row r="122" spans="1:8">
      <c r="A122" t="s">
        <v>288</v>
      </c>
      <c r="B122" t="s">
        <v>288</v>
      </c>
      <c r="C122" s="8">
        <v>45854</v>
      </c>
      <c r="D122" t="s">
        <v>28</v>
      </c>
      <c r="E122" t="s">
        <v>231</v>
      </c>
      <c r="F122" t="s">
        <v>155</v>
      </c>
      <c r="G122" t="s">
        <v>156</v>
      </c>
      <c r="H122" s="4">
        <v>2035.52</v>
      </c>
    </row>
    <row r="123" spans="1:8">
      <c r="A123" t="s">
        <v>289</v>
      </c>
      <c r="B123" t="s">
        <v>289</v>
      </c>
      <c r="C123" s="8">
        <v>45857</v>
      </c>
      <c r="D123" t="s">
        <v>25</v>
      </c>
      <c r="E123" t="s">
        <v>168</v>
      </c>
      <c r="F123" t="s">
        <v>155</v>
      </c>
      <c r="G123" t="s">
        <v>156</v>
      </c>
      <c r="H123" s="4">
        <v>3080.04</v>
      </c>
    </row>
    <row r="124" spans="1:8">
      <c r="A124" t="s">
        <v>290</v>
      </c>
      <c r="B124" t="s">
        <v>290</v>
      </c>
      <c r="C124" s="8">
        <v>45857</v>
      </c>
      <c r="D124" t="s">
        <v>27</v>
      </c>
      <c r="E124" t="s">
        <v>161</v>
      </c>
      <c r="F124" t="s">
        <v>155</v>
      </c>
      <c r="G124" t="s">
        <v>156</v>
      </c>
      <c r="H124" s="4">
        <v>930.75</v>
      </c>
    </row>
    <row r="125" spans="1:8">
      <c r="A125" t="s">
        <v>291</v>
      </c>
      <c r="B125" t="s">
        <v>291</v>
      </c>
      <c r="C125" s="8">
        <v>45857</v>
      </c>
      <c r="D125" t="s">
        <v>34</v>
      </c>
      <c r="E125" t="s">
        <v>292</v>
      </c>
      <c r="F125" t="s">
        <v>155</v>
      </c>
      <c r="G125" t="s">
        <v>156</v>
      </c>
      <c r="H125" s="4">
        <v>2598.25</v>
      </c>
    </row>
    <row r="126" spans="1:8">
      <c r="A126" t="s">
        <v>293</v>
      </c>
      <c r="B126" t="s">
        <v>293</v>
      </c>
      <c r="C126" s="8">
        <v>45857</v>
      </c>
      <c r="D126" t="s">
        <v>26</v>
      </c>
      <c r="E126" t="s">
        <v>211</v>
      </c>
      <c r="F126" t="s">
        <v>155</v>
      </c>
      <c r="G126" t="s">
        <v>156</v>
      </c>
      <c r="H126" s="4">
        <v>6068.66</v>
      </c>
    </row>
    <row r="127" spans="1:8">
      <c r="A127" t="s">
        <v>294</v>
      </c>
      <c r="B127" t="s">
        <v>294</v>
      </c>
      <c r="C127" s="8">
        <v>45857</v>
      </c>
      <c r="D127" t="s">
        <v>4</v>
      </c>
      <c r="E127" t="s">
        <v>174</v>
      </c>
      <c r="F127" t="s">
        <v>155</v>
      </c>
      <c r="G127" t="s">
        <v>156</v>
      </c>
      <c r="H127" s="4">
        <v>644.11</v>
      </c>
    </row>
    <row r="128" spans="1:8">
      <c r="A128" t="s">
        <v>295</v>
      </c>
      <c r="B128" t="s">
        <v>295</v>
      </c>
      <c r="C128" s="8">
        <v>45857</v>
      </c>
      <c r="D128" t="s">
        <v>28</v>
      </c>
      <c r="E128" t="s">
        <v>154</v>
      </c>
      <c r="F128" t="s">
        <v>155</v>
      </c>
      <c r="G128" t="s">
        <v>156</v>
      </c>
      <c r="H128" s="4">
        <v>2289.54</v>
      </c>
    </row>
    <row r="129" spans="1:8">
      <c r="A129" t="s">
        <v>296</v>
      </c>
      <c r="B129" t="s">
        <v>296</v>
      </c>
      <c r="C129" s="8">
        <v>45857</v>
      </c>
      <c r="D129" t="s">
        <v>32</v>
      </c>
      <c r="E129" t="s">
        <v>202</v>
      </c>
      <c r="F129" t="s">
        <v>155</v>
      </c>
      <c r="G129" t="s">
        <v>156</v>
      </c>
      <c r="H129" s="4">
        <v>4121.29</v>
      </c>
    </row>
    <row r="130" spans="1:8">
      <c r="A130" t="s">
        <v>297</v>
      </c>
      <c r="B130" t="s">
        <v>297</v>
      </c>
      <c r="C130" s="8">
        <v>45858</v>
      </c>
      <c r="D130" t="s">
        <v>29</v>
      </c>
      <c r="E130" t="s">
        <v>188</v>
      </c>
      <c r="F130" t="s">
        <v>155</v>
      </c>
      <c r="G130" t="s">
        <v>156</v>
      </c>
      <c r="H130" s="4">
        <v>21554.25</v>
      </c>
    </row>
    <row r="131" spans="1:8">
      <c r="A131" t="s">
        <v>298</v>
      </c>
      <c r="B131" t="s">
        <v>298</v>
      </c>
      <c r="C131" s="8">
        <v>45860</v>
      </c>
      <c r="D131" t="s">
        <v>27</v>
      </c>
      <c r="E131" t="s">
        <v>221</v>
      </c>
      <c r="F131" t="s">
        <v>155</v>
      </c>
      <c r="G131" t="s">
        <v>156</v>
      </c>
      <c r="H131" s="4">
        <v>2773.37</v>
      </c>
    </row>
    <row r="132" spans="1:8">
      <c r="A132" t="s">
        <v>299</v>
      </c>
      <c r="B132" t="s">
        <v>299</v>
      </c>
      <c r="C132" s="8">
        <v>45860</v>
      </c>
      <c r="D132" t="s">
        <v>28</v>
      </c>
      <c r="E132" t="s">
        <v>154</v>
      </c>
      <c r="F132" t="s">
        <v>155</v>
      </c>
      <c r="G132" t="s">
        <v>156</v>
      </c>
      <c r="H132" s="4">
        <v>2314.45</v>
      </c>
    </row>
    <row r="133" spans="1:8">
      <c r="A133" t="s">
        <v>300</v>
      </c>
      <c r="B133" t="s">
        <v>300</v>
      </c>
      <c r="C133" s="8">
        <v>45860</v>
      </c>
      <c r="D133" t="s">
        <v>169</v>
      </c>
      <c r="E133" t="s">
        <v>190</v>
      </c>
      <c r="F133" t="s">
        <v>155</v>
      </c>
      <c r="G133" t="s">
        <v>170</v>
      </c>
      <c r="H133" s="4">
        <v>5764.67</v>
      </c>
    </row>
    <row r="134" spans="1:8">
      <c r="A134" t="s">
        <v>301</v>
      </c>
      <c r="B134" t="s">
        <v>301</v>
      </c>
      <c r="C134" s="8">
        <v>45860</v>
      </c>
      <c r="D134" t="s">
        <v>26</v>
      </c>
      <c r="E134" t="s">
        <v>257</v>
      </c>
      <c r="F134" t="s">
        <v>155</v>
      </c>
      <c r="G134" t="s">
        <v>156</v>
      </c>
      <c r="H134" s="4">
        <v>2882.6</v>
      </c>
    </row>
    <row r="135" spans="1:8">
      <c r="A135" t="s">
        <v>302</v>
      </c>
      <c r="B135" t="s">
        <v>302</v>
      </c>
      <c r="C135" s="8">
        <v>45860</v>
      </c>
      <c r="D135" t="s">
        <v>25</v>
      </c>
      <c r="E135" t="s">
        <v>168</v>
      </c>
      <c r="F135" t="s">
        <v>155</v>
      </c>
      <c r="G135" t="s">
        <v>156</v>
      </c>
      <c r="H135" s="4">
        <v>5172.78</v>
      </c>
    </row>
    <row r="136" spans="1:8">
      <c r="A136" t="s">
        <v>303</v>
      </c>
      <c r="B136" t="s">
        <v>303</v>
      </c>
      <c r="C136" s="8">
        <v>45863</v>
      </c>
      <c r="D136" t="s">
        <v>25</v>
      </c>
      <c r="E136" t="s">
        <v>168</v>
      </c>
      <c r="F136" t="s">
        <v>155</v>
      </c>
      <c r="G136" t="s">
        <v>156</v>
      </c>
      <c r="H136" s="4">
        <v>5031.24</v>
      </c>
    </row>
    <row r="137" spans="1:8">
      <c r="A137" t="s">
        <v>304</v>
      </c>
      <c r="B137" t="s">
        <v>304</v>
      </c>
      <c r="C137" s="8">
        <v>45863</v>
      </c>
      <c r="D137" t="s">
        <v>27</v>
      </c>
      <c r="E137" t="s">
        <v>161</v>
      </c>
      <c r="F137" t="s">
        <v>155</v>
      </c>
      <c r="G137" t="s">
        <v>156</v>
      </c>
      <c r="H137" s="4">
        <v>708.86</v>
      </c>
    </row>
    <row r="138" spans="1:8">
      <c r="A138" t="s">
        <v>305</v>
      </c>
      <c r="B138" t="s">
        <v>305</v>
      </c>
      <c r="C138" s="8">
        <v>45863</v>
      </c>
      <c r="D138" t="s">
        <v>28</v>
      </c>
      <c r="E138" t="s">
        <v>194</v>
      </c>
      <c r="F138" t="s">
        <v>155</v>
      </c>
      <c r="G138" t="s">
        <v>156</v>
      </c>
      <c r="H138" s="4">
        <v>1559.26</v>
      </c>
    </row>
    <row r="139" spans="1:8">
      <c r="A139" t="s">
        <v>306</v>
      </c>
      <c r="B139" t="s">
        <v>306</v>
      </c>
      <c r="C139" s="8">
        <v>45871</v>
      </c>
      <c r="D139" t="s">
        <v>1</v>
      </c>
      <c r="E139" t="s">
        <v>158</v>
      </c>
      <c r="F139" t="s">
        <v>159</v>
      </c>
      <c r="G139" t="s">
        <v>159</v>
      </c>
      <c r="H139" s="4">
        <v>220000</v>
      </c>
    </row>
    <row r="140" spans="1:8">
      <c r="A140" t="s">
        <v>141</v>
      </c>
      <c r="B140" t="s">
        <v>141</v>
      </c>
      <c r="C140" s="8">
        <v>45872</v>
      </c>
      <c r="D140" t="s">
        <v>23</v>
      </c>
      <c r="E140" t="s">
        <v>135</v>
      </c>
      <c r="F140" t="s">
        <v>155</v>
      </c>
      <c r="G140" t="s">
        <v>156</v>
      </c>
      <c r="H140" s="4">
        <v>32000</v>
      </c>
    </row>
    <row r="141" spans="1:8">
      <c r="A141" t="s">
        <v>307</v>
      </c>
      <c r="B141" t="s">
        <v>307</v>
      </c>
      <c r="C141" s="8">
        <v>45872</v>
      </c>
      <c r="D141" t="s">
        <v>25</v>
      </c>
      <c r="E141" t="s">
        <v>163</v>
      </c>
      <c r="F141" t="s">
        <v>155</v>
      </c>
      <c r="G141" t="s">
        <v>156</v>
      </c>
      <c r="H141" s="4">
        <v>1794.91</v>
      </c>
    </row>
    <row r="142" spans="1:8">
      <c r="A142" t="s">
        <v>308</v>
      </c>
      <c r="B142" t="s">
        <v>308</v>
      </c>
      <c r="C142" s="8">
        <v>45874</v>
      </c>
      <c r="D142" t="s">
        <v>28</v>
      </c>
      <c r="E142" t="s">
        <v>231</v>
      </c>
      <c r="F142" t="s">
        <v>155</v>
      </c>
      <c r="G142" t="s">
        <v>156</v>
      </c>
      <c r="H142" s="4">
        <v>2989.02</v>
      </c>
    </row>
    <row r="143" spans="1:8">
      <c r="A143" t="s">
        <v>309</v>
      </c>
      <c r="B143" t="s">
        <v>309</v>
      </c>
      <c r="C143" s="8">
        <v>45874</v>
      </c>
      <c r="D143" t="s">
        <v>26</v>
      </c>
      <c r="E143" t="s">
        <v>257</v>
      </c>
      <c r="F143" t="s">
        <v>155</v>
      </c>
      <c r="G143" t="s">
        <v>156</v>
      </c>
      <c r="H143" s="4">
        <v>7041.99</v>
      </c>
    </row>
    <row r="144" spans="1:8">
      <c r="A144" t="s">
        <v>310</v>
      </c>
      <c r="B144" t="s">
        <v>310</v>
      </c>
      <c r="C144" s="8">
        <v>45874</v>
      </c>
      <c r="D144" t="s">
        <v>165</v>
      </c>
      <c r="E144" t="s">
        <v>166</v>
      </c>
      <c r="F144" t="s">
        <v>159</v>
      </c>
      <c r="G144" t="s">
        <v>159</v>
      </c>
      <c r="H144" s="4">
        <v>23000</v>
      </c>
    </row>
    <row r="145" spans="1:8">
      <c r="A145" t="s">
        <v>311</v>
      </c>
      <c r="B145" t="s">
        <v>311</v>
      </c>
      <c r="C145" s="8">
        <v>45874</v>
      </c>
      <c r="D145" t="s">
        <v>25</v>
      </c>
      <c r="E145" t="s">
        <v>163</v>
      </c>
      <c r="F145" t="s">
        <v>155</v>
      </c>
      <c r="G145" t="s">
        <v>156</v>
      </c>
      <c r="H145" s="4">
        <v>6024.95</v>
      </c>
    </row>
    <row r="146" spans="1:8">
      <c r="A146" t="s">
        <v>312</v>
      </c>
      <c r="B146" t="s">
        <v>312</v>
      </c>
      <c r="C146" s="8">
        <v>45874</v>
      </c>
      <c r="D146" t="s">
        <v>27</v>
      </c>
      <c r="E146" t="s">
        <v>179</v>
      </c>
      <c r="F146" t="s">
        <v>155</v>
      </c>
      <c r="G146" t="s">
        <v>156</v>
      </c>
      <c r="H146" s="4">
        <v>2861.51</v>
      </c>
    </row>
    <row r="147" spans="1:8">
      <c r="A147" t="s">
        <v>313</v>
      </c>
      <c r="B147" t="s">
        <v>313</v>
      </c>
      <c r="C147" s="8">
        <v>45875</v>
      </c>
      <c r="D147" t="s">
        <v>4</v>
      </c>
      <c r="E147" t="s">
        <v>174</v>
      </c>
      <c r="F147" t="s">
        <v>155</v>
      </c>
      <c r="G147" t="s">
        <v>156</v>
      </c>
      <c r="H147" s="4">
        <v>317.86</v>
      </c>
    </row>
    <row r="148" spans="1:8">
      <c r="A148" t="s">
        <v>91</v>
      </c>
      <c r="B148" t="s">
        <v>91</v>
      </c>
      <c r="C148" s="8">
        <v>45876</v>
      </c>
      <c r="D148" t="s">
        <v>169</v>
      </c>
      <c r="E148" t="s">
        <v>86</v>
      </c>
      <c r="F148" t="s">
        <v>155</v>
      </c>
      <c r="G148" t="s">
        <v>170</v>
      </c>
      <c r="H148" s="4">
        <v>28500</v>
      </c>
    </row>
    <row r="149" spans="1:8">
      <c r="A149" t="s">
        <v>314</v>
      </c>
      <c r="B149" t="s">
        <v>314</v>
      </c>
      <c r="C149" s="8">
        <v>45877</v>
      </c>
      <c r="D149" t="s">
        <v>27</v>
      </c>
      <c r="E149" t="s">
        <v>179</v>
      </c>
      <c r="F149" t="s">
        <v>155</v>
      </c>
      <c r="G149" t="s">
        <v>156</v>
      </c>
      <c r="H149" s="4">
        <v>2903.54</v>
      </c>
    </row>
    <row r="150" spans="1:8">
      <c r="A150" t="s">
        <v>315</v>
      </c>
      <c r="B150" t="s">
        <v>315</v>
      </c>
      <c r="C150" s="8">
        <v>45877</v>
      </c>
      <c r="D150" t="s">
        <v>25</v>
      </c>
      <c r="E150" t="s">
        <v>168</v>
      </c>
      <c r="F150" t="s">
        <v>155</v>
      </c>
      <c r="G150" t="s">
        <v>156</v>
      </c>
      <c r="H150" s="4">
        <v>5005.71</v>
      </c>
    </row>
    <row r="151" spans="1:8">
      <c r="A151" t="s">
        <v>316</v>
      </c>
      <c r="B151" t="s">
        <v>316</v>
      </c>
      <c r="C151" s="8">
        <v>45877</v>
      </c>
      <c r="D151" t="s">
        <v>169</v>
      </c>
      <c r="E151" t="s">
        <v>172</v>
      </c>
      <c r="F151" t="s">
        <v>155</v>
      </c>
      <c r="G151" t="s">
        <v>170</v>
      </c>
      <c r="H151" s="4">
        <v>11200</v>
      </c>
    </row>
    <row r="152" spans="1:8">
      <c r="A152" t="s">
        <v>317</v>
      </c>
      <c r="B152" t="s">
        <v>317</v>
      </c>
      <c r="C152" s="8">
        <v>45878</v>
      </c>
      <c r="D152" t="s">
        <v>25</v>
      </c>
      <c r="E152" t="s">
        <v>225</v>
      </c>
      <c r="F152" t="s">
        <v>155</v>
      </c>
      <c r="G152" t="s">
        <v>156</v>
      </c>
      <c r="H152" s="4">
        <v>1085.17</v>
      </c>
    </row>
    <row r="153" spans="1:8">
      <c r="A153" t="s">
        <v>70</v>
      </c>
      <c r="B153" t="s">
        <v>70</v>
      </c>
      <c r="C153" s="8">
        <v>45879</v>
      </c>
      <c r="D153" t="s">
        <v>31</v>
      </c>
      <c r="E153" t="s">
        <v>65</v>
      </c>
      <c r="F153" t="s">
        <v>155</v>
      </c>
      <c r="G153" t="s">
        <v>156</v>
      </c>
      <c r="H153" s="4">
        <v>5500</v>
      </c>
    </row>
    <row r="154" spans="1:8">
      <c r="A154" t="s">
        <v>318</v>
      </c>
      <c r="B154" t="s">
        <v>318</v>
      </c>
      <c r="C154" s="8">
        <v>45880</v>
      </c>
      <c r="D154" t="s">
        <v>25</v>
      </c>
      <c r="E154" t="s">
        <v>163</v>
      </c>
      <c r="F154" t="s">
        <v>155</v>
      </c>
      <c r="G154" t="s">
        <v>156</v>
      </c>
      <c r="H154" s="4">
        <v>3462.29</v>
      </c>
    </row>
    <row r="155" spans="1:8">
      <c r="A155" t="s">
        <v>319</v>
      </c>
      <c r="B155" t="s">
        <v>319</v>
      </c>
      <c r="C155" s="8">
        <v>45881</v>
      </c>
      <c r="D155" t="s">
        <v>30</v>
      </c>
      <c r="E155" t="s">
        <v>177</v>
      </c>
      <c r="F155" t="s">
        <v>155</v>
      </c>
      <c r="G155" t="s">
        <v>156</v>
      </c>
      <c r="H155" s="4">
        <v>3200</v>
      </c>
    </row>
    <row r="156" spans="1:8">
      <c r="A156" t="s">
        <v>320</v>
      </c>
      <c r="B156" t="s">
        <v>320</v>
      </c>
      <c r="C156" s="8">
        <v>45882</v>
      </c>
      <c r="D156" t="s">
        <v>30</v>
      </c>
      <c r="E156" t="s">
        <v>181</v>
      </c>
      <c r="F156" t="s">
        <v>155</v>
      </c>
      <c r="G156" t="s">
        <v>156</v>
      </c>
      <c r="H156" s="4">
        <v>1200</v>
      </c>
    </row>
    <row r="157" spans="1:8">
      <c r="A157" t="s">
        <v>321</v>
      </c>
      <c r="B157" t="s">
        <v>321</v>
      </c>
      <c r="C157" s="8">
        <v>45883</v>
      </c>
      <c r="D157" t="s">
        <v>30</v>
      </c>
      <c r="E157" t="s">
        <v>183</v>
      </c>
      <c r="F157" t="s">
        <v>155</v>
      </c>
      <c r="G157" t="s">
        <v>156</v>
      </c>
      <c r="H157" s="4">
        <v>900</v>
      </c>
    </row>
    <row r="158" spans="1:8">
      <c r="A158" t="s">
        <v>322</v>
      </c>
      <c r="B158" t="s">
        <v>322</v>
      </c>
      <c r="C158" s="8">
        <v>45883</v>
      </c>
      <c r="D158" t="s">
        <v>25</v>
      </c>
      <c r="E158" t="s">
        <v>225</v>
      </c>
      <c r="F158" t="s">
        <v>155</v>
      </c>
      <c r="G158" t="s">
        <v>156</v>
      </c>
      <c r="H158" s="4">
        <v>6377.03</v>
      </c>
    </row>
    <row r="159" spans="1:8">
      <c r="A159" t="s">
        <v>111</v>
      </c>
      <c r="B159" t="s">
        <v>111</v>
      </c>
      <c r="C159" s="8">
        <v>45884</v>
      </c>
      <c r="D159" t="s">
        <v>184</v>
      </c>
      <c r="E159" t="s">
        <v>101</v>
      </c>
      <c r="F159" t="s">
        <v>155</v>
      </c>
      <c r="G159" t="s">
        <v>185</v>
      </c>
      <c r="H159" s="4">
        <v>20000</v>
      </c>
    </row>
    <row r="160" spans="1:8">
      <c r="A160" t="s">
        <v>323</v>
      </c>
      <c r="B160" t="s">
        <v>323</v>
      </c>
      <c r="C160" s="8">
        <v>45884</v>
      </c>
      <c r="D160" t="s">
        <v>25</v>
      </c>
      <c r="E160" t="s">
        <v>168</v>
      </c>
      <c r="F160" t="s">
        <v>155</v>
      </c>
      <c r="G160" t="s">
        <v>156</v>
      </c>
      <c r="H160" s="4">
        <v>1117.13</v>
      </c>
    </row>
    <row r="161" spans="1:8">
      <c r="A161" t="s">
        <v>112</v>
      </c>
      <c r="B161" t="s">
        <v>112</v>
      </c>
      <c r="C161" s="8">
        <v>45885</v>
      </c>
      <c r="D161" t="s">
        <v>184</v>
      </c>
      <c r="E161" t="s">
        <v>104</v>
      </c>
      <c r="F161" t="s">
        <v>155</v>
      </c>
      <c r="G161" t="s">
        <v>185</v>
      </c>
      <c r="H161" s="4">
        <v>10000</v>
      </c>
    </row>
    <row r="162" spans="1:8">
      <c r="A162" t="s">
        <v>324</v>
      </c>
      <c r="B162" t="s">
        <v>324</v>
      </c>
      <c r="C162" s="8">
        <v>45887</v>
      </c>
      <c r="D162" t="s">
        <v>27</v>
      </c>
      <c r="E162" t="s">
        <v>221</v>
      </c>
      <c r="F162" t="s">
        <v>155</v>
      </c>
      <c r="G162" t="s">
        <v>156</v>
      </c>
      <c r="H162" s="4">
        <v>2137.81</v>
      </c>
    </row>
    <row r="163" spans="1:8">
      <c r="A163" t="s">
        <v>325</v>
      </c>
      <c r="B163" t="s">
        <v>325</v>
      </c>
      <c r="C163" s="8">
        <v>45890</v>
      </c>
      <c r="D163" t="s">
        <v>28</v>
      </c>
      <c r="E163" t="s">
        <v>154</v>
      </c>
      <c r="F163" t="s">
        <v>155</v>
      </c>
      <c r="G163" t="s">
        <v>156</v>
      </c>
      <c r="H163" s="4">
        <v>2177.99</v>
      </c>
    </row>
    <row r="164" spans="1:8">
      <c r="A164" t="s">
        <v>326</v>
      </c>
      <c r="B164" t="s">
        <v>326</v>
      </c>
      <c r="C164" s="8">
        <v>45891</v>
      </c>
      <c r="D164" t="s">
        <v>169</v>
      </c>
      <c r="E164" t="s">
        <v>190</v>
      </c>
      <c r="F164" t="s">
        <v>155</v>
      </c>
      <c r="G164" t="s">
        <v>170</v>
      </c>
      <c r="H164" s="4">
        <v>10510.71</v>
      </c>
    </row>
    <row r="165" spans="1:8">
      <c r="A165" t="s">
        <v>327</v>
      </c>
      <c r="B165" t="s">
        <v>327</v>
      </c>
      <c r="C165" s="8">
        <v>45895</v>
      </c>
      <c r="D165" t="s">
        <v>27</v>
      </c>
      <c r="E165" t="s">
        <v>179</v>
      </c>
      <c r="F165" t="s">
        <v>155</v>
      </c>
      <c r="G165" t="s">
        <v>156</v>
      </c>
      <c r="H165" s="4">
        <v>3014.41</v>
      </c>
    </row>
    <row r="166" spans="1:8">
      <c r="A166" t="s">
        <v>328</v>
      </c>
      <c r="B166" t="s">
        <v>328</v>
      </c>
      <c r="C166" s="8">
        <v>45895</v>
      </c>
      <c r="D166" t="s">
        <v>26</v>
      </c>
      <c r="E166" t="s">
        <v>211</v>
      </c>
      <c r="F166" t="s">
        <v>155</v>
      </c>
      <c r="G166" t="s">
        <v>156</v>
      </c>
      <c r="H166" s="4">
        <v>3001.72</v>
      </c>
    </row>
    <row r="167" spans="1:8">
      <c r="A167" t="s">
        <v>329</v>
      </c>
      <c r="B167" t="s">
        <v>329</v>
      </c>
      <c r="C167" s="8">
        <v>45895</v>
      </c>
      <c r="D167" t="s">
        <v>25</v>
      </c>
      <c r="E167" t="s">
        <v>214</v>
      </c>
      <c r="F167" t="s">
        <v>155</v>
      </c>
      <c r="G167" t="s">
        <v>156</v>
      </c>
      <c r="H167" s="4">
        <v>3513.86</v>
      </c>
    </row>
    <row r="168" spans="1:8">
      <c r="A168" t="s">
        <v>330</v>
      </c>
      <c r="B168" t="s">
        <v>330</v>
      </c>
      <c r="C168" s="8">
        <v>45895</v>
      </c>
      <c r="D168" t="s">
        <v>28</v>
      </c>
      <c r="E168" t="s">
        <v>154</v>
      </c>
      <c r="F168" t="s">
        <v>155</v>
      </c>
      <c r="G168" t="s">
        <v>156</v>
      </c>
      <c r="H168" s="4">
        <v>2966.03</v>
      </c>
    </row>
    <row r="169" spans="1:8">
      <c r="A169" t="s">
        <v>331</v>
      </c>
      <c r="B169" t="s">
        <v>331</v>
      </c>
      <c r="C169" s="8">
        <v>45895</v>
      </c>
      <c r="D169" t="s">
        <v>33</v>
      </c>
      <c r="E169" t="s">
        <v>196</v>
      </c>
      <c r="F169" t="s">
        <v>155</v>
      </c>
      <c r="G169" t="s">
        <v>156</v>
      </c>
      <c r="H169" s="4">
        <v>1795.99</v>
      </c>
    </row>
    <row r="170" spans="1:8">
      <c r="A170" t="s">
        <v>332</v>
      </c>
      <c r="B170" t="s">
        <v>332</v>
      </c>
      <c r="C170" s="8">
        <v>45895</v>
      </c>
      <c r="D170" t="s">
        <v>34</v>
      </c>
      <c r="E170" t="s">
        <v>292</v>
      </c>
      <c r="F170" t="s">
        <v>155</v>
      </c>
      <c r="G170" t="s">
        <v>156</v>
      </c>
      <c r="H170" s="4">
        <v>927</v>
      </c>
    </row>
    <row r="171" spans="1:8">
      <c r="A171" t="s">
        <v>333</v>
      </c>
      <c r="B171" t="s">
        <v>333</v>
      </c>
      <c r="C171" s="8">
        <v>45895</v>
      </c>
      <c r="D171" t="s">
        <v>4</v>
      </c>
      <c r="E171" t="s">
        <v>209</v>
      </c>
      <c r="F171" t="s">
        <v>155</v>
      </c>
      <c r="G171" t="s">
        <v>156</v>
      </c>
      <c r="H171" s="4">
        <v>3934.37</v>
      </c>
    </row>
    <row r="172" spans="1:8">
      <c r="A172" t="s">
        <v>131</v>
      </c>
      <c r="B172" t="s">
        <v>131</v>
      </c>
      <c r="C172" s="8">
        <v>45895</v>
      </c>
      <c r="D172" t="s">
        <v>32</v>
      </c>
      <c r="E172" t="s">
        <v>129</v>
      </c>
      <c r="F172" t="s">
        <v>155</v>
      </c>
      <c r="G172" t="s">
        <v>156</v>
      </c>
      <c r="H172" s="4">
        <v>2398.08</v>
      </c>
    </row>
    <row r="173" spans="1:8">
      <c r="A173" t="s">
        <v>334</v>
      </c>
      <c r="B173" t="s">
        <v>334</v>
      </c>
      <c r="C173" s="8">
        <v>45902</v>
      </c>
      <c r="D173" t="s">
        <v>1</v>
      </c>
      <c r="E173" t="s">
        <v>158</v>
      </c>
      <c r="F173" t="s">
        <v>159</v>
      </c>
      <c r="G173" t="s">
        <v>159</v>
      </c>
      <c r="H173" s="4">
        <v>311500</v>
      </c>
    </row>
    <row r="174" spans="1:8">
      <c r="A174" t="s">
        <v>142</v>
      </c>
      <c r="B174" t="s">
        <v>142</v>
      </c>
      <c r="C174" s="8">
        <v>45903</v>
      </c>
      <c r="D174" t="s">
        <v>23</v>
      </c>
      <c r="E174" t="s">
        <v>135</v>
      </c>
      <c r="F174" t="s">
        <v>155</v>
      </c>
      <c r="G174" t="s">
        <v>156</v>
      </c>
      <c r="H174" s="4">
        <v>32000</v>
      </c>
    </row>
    <row r="175" spans="1:8">
      <c r="A175" t="s">
        <v>335</v>
      </c>
      <c r="B175" t="s">
        <v>335</v>
      </c>
      <c r="C175" s="8">
        <v>45905</v>
      </c>
      <c r="D175" t="s">
        <v>165</v>
      </c>
      <c r="E175" t="s">
        <v>166</v>
      </c>
      <c r="F175" t="s">
        <v>159</v>
      </c>
      <c r="G175" t="s">
        <v>159</v>
      </c>
      <c r="H175" s="4">
        <v>25500</v>
      </c>
    </row>
    <row r="176" spans="1:8">
      <c r="A176" t="s">
        <v>92</v>
      </c>
      <c r="B176" t="s">
        <v>92</v>
      </c>
      <c r="C176" s="8">
        <v>45907</v>
      </c>
      <c r="D176" t="s">
        <v>169</v>
      </c>
      <c r="E176" t="s">
        <v>86</v>
      </c>
      <c r="F176" t="s">
        <v>155</v>
      </c>
      <c r="G176" t="s">
        <v>170</v>
      </c>
      <c r="H176" s="4">
        <v>28500</v>
      </c>
    </row>
    <row r="177" spans="1:8">
      <c r="A177" t="s">
        <v>336</v>
      </c>
      <c r="B177" t="s">
        <v>336</v>
      </c>
      <c r="C177" s="8">
        <v>45908</v>
      </c>
      <c r="D177" t="s">
        <v>27</v>
      </c>
      <c r="E177" t="s">
        <v>179</v>
      </c>
      <c r="F177" t="s">
        <v>155</v>
      </c>
      <c r="G177" t="s">
        <v>156</v>
      </c>
      <c r="H177" s="4">
        <v>1795.26</v>
      </c>
    </row>
    <row r="178" spans="1:8">
      <c r="A178" t="s">
        <v>337</v>
      </c>
      <c r="B178" t="s">
        <v>337</v>
      </c>
      <c r="C178" s="8">
        <v>45908</v>
      </c>
      <c r="D178" t="s">
        <v>169</v>
      </c>
      <c r="E178" t="s">
        <v>172</v>
      </c>
      <c r="F178" t="s">
        <v>155</v>
      </c>
      <c r="G178" t="s">
        <v>170</v>
      </c>
      <c r="H178" s="4">
        <v>11200</v>
      </c>
    </row>
    <row r="179" spans="1:8">
      <c r="A179" t="s">
        <v>132</v>
      </c>
      <c r="B179" t="s">
        <v>132</v>
      </c>
      <c r="C179" s="8">
        <v>45909</v>
      </c>
      <c r="D179" t="s">
        <v>32</v>
      </c>
      <c r="E179" t="s">
        <v>129</v>
      </c>
      <c r="F179" t="s">
        <v>155</v>
      </c>
      <c r="G179" t="s">
        <v>156</v>
      </c>
      <c r="H179" s="4">
        <v>4689.53</v>
      </c>
    </row>
    <row r="180" spans="1:8">
      <c r="A180" t="s">
        <v>338</v>
      </c>
      <c r="B180" t="s">
        <v>338</v>
      </c>
      <c r="C180" s="8">
        <v>45909</v>
      </c>
      <c r="D180" t="s">
        <v>4</v>
      </c>
      <c r="E180" t="s">
        <v>174</v>
      </c>
      <c r="F180" t="s">
        <v>155</v>
      </c>
      <c r="G180" t="s">
        <v>156</v>
      </c>
      <c r="H180" s="4">
        <v>1260.32</v>
      </c>
    </row>
    <row r="181" spans="1:8">
      <c r="A181" t="s">
        <v>339</v>
      </c>
      <c r="B181" t="s">
        <v>339</v>
      </c>
      <c r="C181" s="8">
        <v>45909</v>
      </c>
      <c r="D181" t="s">
        <v>34</v>
      </c>
      <c r="E181" t="s">
        <v>292</v>
      </c>
      <c r="F181" t="s">
        <v>155</v>
      </c>
      <c r="G181" t="s">
        <v>156</v>
      </c>
      <c r="H181" s="4">
        <v>942.86</v>
      </c>
    </row>
    <row r="182" spans="1:8">
      <c r="A182" t="s">
        <v>340</v>
      </c>
      <c r="B182" t="s">
        <v>340</v>
      </c>
      <c r="C182" s="8">
        <v>45909</v>
      </c>
      <c r="D182" t="s">
        <v>33</v>
      </c>
      <c r="E182" t="s">
        <v>196</v>
      </c>
      <c r="F182" t="s">
        <v>155</v>
      </c>
      <c r="G182" t="s">
        <v>156</v>
      </c>
      <c r="H182" s="4">
        <v>4031.04</v>
      </c>
    </row>
    <row r="183" spans="1:8">
      <c r="A183" t="s">
        <v>341</v>
      </c>
      <c r="B183" t="s">
        <v>341</v>
      </c>
      <c r="C183" s="8">
        <v>45909</v>
      </c>
      <c r="D183" t="s">
        <v>28</v>
      </c>
      <c r="E183" t="s">
        <v>231</v>
      </c>
      <c r="F183" t="s">
        <v>155</v>
      </c>
      <c r="G183" t="s">
        <v>156</v>
      </c>
      <c r="H183" s="4">
        <v>1973.32</v>
      </c>
    </row>
    <row r="184" spans="1:8">
      <c r="A184" t="s">
        <v>342</v>
      </c>
      <c r="B184" t="s">
        <v>342</v>
      </c>
      <c r="C184" s="8">
        <v>45909</v>
      </c>
      <c r="D184" t="s">
        <v>26</v>
      </c>
      <c r="E184" t="s">
        <v>257</v>
      </c>
      <c r="F184" t="s">
        <v>155</v>
      </c>
      <c r="G184" t="s">
        <v>156</v>
      </c>
      <c r="H184" s="4">
        <v>2996.4</v>
      </c>
    </row>
    <row r="185" spans="1:8">
      <c r="A185" t="s">
        <v>343</v>
      </c>
      <c r="B185" t="s">
        <v>343</v>
      </c>
      <c r="C185" s="8">
        <v>45909</v>
      </c>
      <c r="D185" t="s">
        <v>27</v>
      </c>
      <c r="E185" t="s">
        <v>221</v>
      </c>
      <c r="F185" t="s">
        <v>155</v>
      </c>
      <c r="G185" t="s">
        <v>156</v>
      </c>
      <c r="H185" s="4">
        <v>2398.8</v>
      </c>
    </row>
    <row r="186" spans="1:8">
      <c r="A186" t="s">
        <v>344</v>
      </c>
      <c r="B186" t="s">
        <v>344</v>
      </c>
      <c r="C186" s="8">
        <v>45909</v>
      </c>
      <c r="D186" t="s">
        <v>25</v>
      </c>
      <c r="E186" t="s">
        <v>214</v>
      </c>
      <c r="F186" t="s">
        <v>155</v>
      </c>
      <c r="G186" t="s">
        <v>156</v>
      </c>
      <c r="H186" s="4">
        <v>3234.4</v>
      </c>
    </row>
    <row r="187" spans="1:8">
      <c r="A187" t="s">
        <v>71</v>
      </c>
      <c r="B187" t="s">
        <v>71</v>
      </c>
      <c r="C187" s="8">
        <v>45910</v>
      </c>
      <c r="D187" t="s">
        <v>31</v>
      </c>
      <c r="E187" t="s">
        <v>65</v>
      </c>
      <c r="F187" t="s">
        <v>155</v>
      </c>
      <c r="G187" t="s">
        <v>156</v>
      </c>
      <c r="H187" s="4">
        <v>5500</v>
      </c>
    </row>
    <row r="188" spans="1:8">
      <c r="A188" t="s">
        <v>345</v>
      </c>
      <c r="B188" t="s">
        <v>345</v>
      </c>
      <c r="C188" s="8">
        <v>45911</v>
      </c>
      <c r="D188" t="s">
        <v>28</v>
      </c>
      <c r="E188" t="s">
        <v>154</v>
      </c>
      <c r="F188" t="s">
        <v>155</v>
      </c>
      <c r="G188" t="s">
        <v>156</v>
      </c>
      <c r="H188" s="4">
        <v>1587.46</v>
      </c>
    </row>
    <row r="189" spans="1:8">
      <c r="A189" t="s">
        <v>346</v>
      </c>
      <c r="B189" t="s">
        <v>346</v>
      </c>
      <c r="C189" s="8">
        <v>45912</v>
      </c>
      <c r="D189" t="s">
        <v>26</v>
      </c>
      <c r="E189" t="s">
        <v>257</v>
      </c>
      <c r="F189" t="s">
        <v>155</v>
      </c>
      <c r="G189" t="s">
        <v>156</v>
      </c>
      <c r="H189" s="4">
        <v>2056.32</v>
      </c>
    </row>
    <row r="190" spans="1:8">
      <c r="A190" t="s">
        <v>347</v>
      </c>
      <c r="B190" t="s">
        <v>347</v>
      </c>
      <c r="C190" s="8">
        <v>45912</v>
      </c>
      <c r="D190" t="s">
        <v>30</v>
      </c>
      <c r="E190" t="s">
        <v>177</v>
      </c>
      <c r="F190" t="s">
        <v>155</v>
      </c>
      <c r="G190" t="s">
        <v>156</v>
      </c>
      <c r="H190" s="4">
        <v>3450</v>
      </c>
    </row>
    <row r="191" spans="1:8">
      <c r="A191" t="s">
        <v>348</v>
      </c>
      <c r="B191" t="s">
        <v>348</v>
      </c>
      <c r="C191" s="8">
        <v>45912</v>
      </c>
      <c r="D191" t="s">
        <v>28</v>
      </c>
      <c r="E191" t="s">
        <v>231</v>
      </c>
      <c r="F191" t="s">
        <v>155</v>
      </c>
      <c r="G191" t="s">
        <v>156</v>
      </c>
      <c r="H191" s="4">
        <v>2923.36</v>
      </c>
    </row>
    <row r="192" spans="1:8">
      <c r="A192" t="s">
        <v>349</v>
      </c>
      <c r="B192" t="s">
        <v>349</v>
      </c>
      <c r="C192" s="8">
        <v>45912</v>
      </c>
      <c r="D192" t="s">
        <v>27</v>
      </c>
      <c r="E192" t="s">
        <v>204</v>
      </c>
      <c r="F192" t="s">
        <v>155</v>
      </c>
      <c r="G192" t="s">
        <v>156</v>
      </c>
      <c r="H192" s="4">
        <v>3048.09</v>
      </c>
    </row>
    <row r="193" spans="1:8">
      <c r="A193" t="s">
        <v>350</v>
      </c>
      <c r="B193" t="s">
        <v>350</v>
      </c>
      <c r="C193" s="8">
        <v>45912</v>
      </c>
      <c r="D193" t="s">
        <v>25</v>
      </c>
      <c r="E193" t="s">
        <v>168</v>
      </c>
      <c r="F193" t="s">
        <v>155</v>
      </c>
      <c r="G193" t="s">
        <v>156</v>
      </c>
      <c r="H193" s="4">
        <v>2847.74</v>
      </c>
    </row>
    <row r="194" spans="1:8">
      <c r="A194" t="s">
        <v>351</v>
      </c>
      <c r="B194" t="s">
        <v>351</v>
      </c>
      <c r="C194" s="8">
        <v>45913</v>
      </c>
      <c r="D194" t="s">
        <v>30</v>
      </c>
      <c r="E194" t="s">
        <v>181</v>
      </c>
      <c r="F194" t="s">
        <v>155</v>
      </c>
      <c r="G194" t="s">
        <v>156</v>
      </c>
      <c r="H194" s="4">
        <v>1200</v>
      </c>
    </row>
    <row r="195" spans="1:8">
      <c r="A195" t="s">
        <v>352</v>
      </c>
      <c r="B195" t="s">
        <v>352</v>
      </c>
      <c r="C195" s="8">
        <v>45914</v>
      </c>
      <c r="D195" t="s">
        <v>30</v>
      </c>
      <c r="E195" t="s">
        <v>183</v>
      </c>
      <c r="F195" t="s">
        <v>155</v>
      </c>
      <c r="G195" t="s">
        <v>156</v>
      </c>
      <c r="H195" s="4">
        <v>900</v>
      </c>
    </row>
    <row r="196" spans="1:8">
      <c r="A196" t="s">
        <v>353</v>
      </c>
      <c r="B196" t="s">
        <v>353</v>
      </c>
      <c r="C196" s="8">
        <v>45914</v>
      </c>
      <c r="D196" t="s">
        <v>27</v>
      </c>
      <c r="E196" t="s">
        <v>204</v>
      </c>
      <c r="F196" t="s">
        <v>155</v>
      </c>
      <c r="G196" t="s">
        <v>156</v>
      </c>
      <c r="H196" s="4">
        <v>1483</v>
      </c>
    </row>
    <row r="197" spans="1:8">
      <c r="A197" t="s">
        <v>354</v>
      </c>
      <c r="B197" t="s">
        <v>354</v>
      </c>
      <c r="C197" s="8">
        <v>45915</v>
      </c>
      <c r="D197" t="s">
        <v>27</v>
      </c>
      <c r="E197" t="s">
        <v>161</v>
      </c>
      <c r="F197" t="s">
        <v>155</v>
      </c>
      <c r="G197" t="s">
        <v>156</v>
      </c>
      <c r="H197" s="4">
        <v>2892.6</v>
      </c>
    </row>
    <row r="198" spans="1:8">
      <c r="A198" t="s">
        <v>113</v>
      </c>
      <c r="B198" t="s">
        <v>113</v>
      </c>
      <c r="C198" s="8">
        <v>45915</v>
      </c>
      <c r="D198" t="s">
        <v>184</v>
      </c>
      <c r="E198" t="s">
        <v>101</v>
      </c>
      <c r="F198" t="s">
        <v>155</v>
      </c>
      <c r="G198" t="s">
        <v>185</v>
      </c>
      <c r="H198" s="4">
        <v>20000</v>
      </c>
    </row>
    <row r="199" spans="1:8">
      <c r="A199" t="s">
        <v>355</v>
      </c>
      <c r="B199" t="s">
        <v>355</v>
      </c>
      <c r="C199" s="8">
        <v>45915</v>
      </c>
      <c r="D199" t="s">
        <v>25</v>
      </c>
      <c r="E199" t="s">
        <v>168</v>
      </c>
      <c r="F199" t="s">
        <v>155</v>
      </c>
      <c r="G199" t="s">
        <v>156</v>
      </c>
      <c r="H199" s="4">
        <v>3672.79</v>
      </c>
    </row>
    <row r="200" spans="1:8">
      <c r="A200" t="s">
        <v>114</v>
      </c>
      <c r="B200" t="s">
        <v>114</v>
      </c>
      <c r="C200" s="8">
        <v>45916</v>
      </c>
      <c r="D200" t="s">
        <v>184</v>
      </c>
      <c r="E200" t="s">
        <v>104</v>
      </c>
      <c r="F200" t="s">
        <v>155</v>
      </c>
      <c r="G200" t="s">
        <v>185</v>
      </c>
      <c r="H200" s="4">
        <v>10000</v>
      </c>
    </row>
    <row r="201" spans="1:8">
      <c r="A201" t="s">
        <v>356</v>
      </c>
      <c r="B201" t="s">
        <v>356</v>
      </c>
      <c r="C201" s="8">
        <v>45918</v>
      </c>
      <c r="D201" t="s">
        <v>25</v>
      </c>
      <c r="E201" t="s">
        <v>214</v>
      </c>
      <c r="F201" t="s">
        <v>155</v>
      </c>
      <c r="G201" t="s">
        <v>156</v>
      </c>
      <c r="H201" s="4">
        <v>5862.46</v>
      </c>
    </row>
    <row r="202" spans="1:8">
      <c r="A202" t="s">
        <v>357</v>
      </c>
      <c r="B202" t="s">
        <v>357</v>
      </c>
      <c r="C202" s="8">
        <v>45920</v>
      </c>
      <c r="D202" t="s">
        <v>27</v>
      </c>
      <c r="E202" t="s">
        <v>221</v>
      </c>
      <c r="F202" t="s">
        <v>155</v>
      </c>
      <c r="G202" t="s">
        <v>156</v>
      </c>
      <c r="H202" s="4">
        <v>943.97</v>
      </c>
    </row>
    <row r="203" spans="1:8">
      <c r="A203" t="s">
        <v>358</v>
      </c>
      <c r="B203" t="s">
        <v>358</v>
      </c>
      <c r="C203" s="8">
        <v>45921</v>
      </c>
      <c r="D203" t="s">
        <v>25</v>
      </c>
      <c r="E203" t="s">
        <v>214</v>
      </c>
      <c r="F203" t="s">
        <v>155</v>
      </c>
      <c r="G203" t="s">
        <v>156</v>
      </c>
      <c r="H203" s="4">
        <v>3450.39</v>
      </c>
    </row>
    <row r="204" spans="1:8">
      <c r="A204" t="s">
        <v>359</v>
      </c>
      <c r="B204" t="s">
        <v>359</v>
      </c>
      <c r="C204" s="8">
        <v>45922</v>
      </c>
      <c r="D204" t="s">
        <v>169</v>
      </c>
      <c r="E204" t="s">
        <v>190</v>
      </c>
      <c r="F204" t="s">
        <v>155</v>
      </c>
      <c r="G204" t="s">
        <v>170</v>
      </c>
      <c r="H204" s="4">
        <v>5010.15</v>
      </c>
    </row>
    <row r="205" spans="1:8">
      <c r="A205" t="s">
        <v>360</v>
      </c>
      <c r="B205" t="s">
        <v>360</v>
      </c>
      <c r="C205" s="8">
        <v>45923</v>
      </c>
      <c r="D205" t="s">
        <v>4</v>
      </c>
      <c r="E205" t="s">
        <v>209</v>
      </c>
      <c r="F205" t="s">
        <v>155</v>
      </c>
      <c r="G205" t="s">
        <v>156</v>
      </c>
      <c r="H205" s="4">
        <v>1802.3</v>
      </c>
    </row>
    <row r="206" spans="1:8">
      <c r="A206" t="s">
        <v>361</v>
      </c>
      <c r="B206" t="s">
        <v>361</v>
      </c>
      <c r="C206" s="8">
        <v>45926</v>
      </c>
      <c r="D206" t="s">
        <v>27</v>
      </c>
      <c r="E206" t="s">
        <v>221</v>
      </c>
      <c r="F206" t="s">
        <v>155</v>
      </c>
      <c r="G206" t="s">
        <v>156</v>
      </c>
      <c r="H206" s="4">
        <v>2133.17</v>
      </c>
    </row>
    <row r="207" spans="1:8">
      <c r="A207" t="s">
        <v>362</v>
      </c>
      <c r="B207" t="s">
        <v>362</v>
      </c>
      <c r="C207" s="8">
        <v>45931</v>
      </c>
      <c r="D207" t="s">
        <v>25</v>
      </c>
      <c r="E207" t="s">
        <v>214</v>
      </c>
      <c r="F207" t="s">
        <v>155</v>
      </c>
      <c r="G207" t="s">
        <v>156</v>
      </c>
      <c r="H207" s="4">
        <v>1319.49</v>
      </c>
    </row>
    <row r="208" spans="1:8">
      <c r="A208" t="s">
        <v>363</v>
      </c>
      <c r="B208" t="s">
        <v>363</v>
      </c>
      <c r="C208" s="8">
        <v>45932</v>
      </c>
      <c r="D208" t="s">
        <v>1</v>
      </c>
      <c r="E208" t="s">
        <v>158</v>
      </c>
      <c r="F208" t="s">
        <v>159</v>
      </c>
      <c r="G208" t="s">
        <v>159</v>
      </c>
      <c r="H208" s="4">
        <v>223000</v>
      </c>
    </row>
    <row r="209" spans="1:9">
      <c r="A209" t="s">
        <v>143</v>
      </c>
      <c r="B209" t="s">
        <v>143</v>
      </c>
      <c r="C209" s="8">
        <v>45933</v>
      </c>
      <c r="D209" t="s">
        <v>23</v>
      </c>
      <c r="E209" t="s">
        <v>135</v>
      </c>
      <c r="F209" t="s">
        <v>155</v>
      </c>
      <c r="G209" t="s">
        <v>156</v>
      </c>
      <c r="H209" s="4">
        <v>32000</v>
      </c>
    </row>
    <row r="210" spans="1:9">
      <c r="A210" t="s">
        <v>364</v>
      </c>
      <c r="B210" t="s">
        <v>364</v>
      </c>
      <c r="C210" s="8">
        <v>45934</v>
      </c>
      <c r="D210" t="s">
        <v>27</v>
      </c>
      <c r="E210" t="s">
        <v>204</v>
      </c>
      <c r="F210" t="s">
        <v>155</v>
      </c>
      <c r="G210" t="s">
        <v>156</v>
      </c>
      <c r="H210" s="4">
        <v>1952.43</v>
      </c>
    </row>
    <row r="211" spans="1:9">
      <c r="A211" t="s">
        <v>365</v>
      </c>
      <c r="B211" t="s">
        <v>365</v>
      </c>
      <c r="C211" s="8">
        <v>45934</v>
      </c>
      <c r="D211" t="s">
        <v>25</v>
      </c>
      <c r="E211" t="s">
        <v>214</v>
      </c>
      <c r="F211" t="s">
        <v>155</v>
      </c>
      <c r="G211" t="s">
        <v>156</v>
      </c>
      <c r="H211" s="4">
        <v>4183.48</v>
      </c>
    </row>
    <row r="212" spans="1:9">
      <c r="A212" t="s">
        <v>366</v>
      </c>
      <c r="B212" t="s">
        <v>366</v>
      </c>
      <c r="C212" s="8">
        <v>45935</v>
      </c>
      <c r="D212" t="s">
        <v>165</v>
      </c>
      <c r="E212" t="s">
        <v>166</v>
      </c>
      <c r="F212" t="s">
        <v>159</v>
      </c>
      <c r="G212" t="s">
        <v>159</v>
      </c>
      <c r="H212" s="4">
        <v>18000</v>
      </c>
    </row>
    <row r="213" spans="1:9">
      <c r="A213" t="s">
        <v>93</v>
      </c>
      <c r="B213" t="s">
        <v>93</v>
      </c>
      <c r="C213" s="8">
        <v>45937</v>
      </c>
      <c r="D213" t="s">
        <v>169</v>
      </c>
      <c r="E213" t="s">
        <v>86</v>
      </c>
      <c r="F213" t="s">
        <v>155</v>
      </c>
      <c r="G213" t="s">
        <v>170</v>
      </c>
      <c r="H213" s="4">
        <v>28500</v>
      </c>
    </row>
    <row r="214" spans="1:9">
      <c r="A214" t="s">
        <v>367</v>
      </c>
      <c r="B214" t="s">
        <v>367</v>
      </c>
      <c r="C214" s="8">
        <v>45938</v>
      </c>
      <c r="D214" t="s">
        <v>169</v>
      </c>
      <c r="E214" t="s">
        <v>172</v>
      </c>
      <c r="F214" t="s">
        <v>155</v>
      </c>
      <c r="G214" t="s">
        <v>170</v>
      </c>
      <c r="H214" s="4">
        <v>0</v>
      </c>
      <c r="I214" t="s">
        <v>368</v>
      </c>
    </row>
    <row r="215" spans="1:9">
      <c r="A215" t="s">
        <v>72</v>
      </c>
      <c r="B215" t="s">
        <v>72</v>
      </c>
      <c r="C215" s="8">
        <v>45940</v>
      </c>
      <c r="D215" t="s">
        <v>31</v>
      </c>
      <c r="E215" t="s">
        <v>65</v>
      </c>
      <c r="F215" t="s">
        <v>155</v>
      </c>
      <c r="G215" t="s">
        <v>156</v>
      </c>
      <c r="H215" s="4">
        <v>5500</v>
      </c>
    </row>
    <row r="216" spans="1:9">
      <c r="A216" t="s">
        <v>369</v>
      </c>
      <c r="B216" t="s">
        <v>369</v>
      </c>
      <c r="C216" s="8">
        <v>45942</v>
      </c>
      <c r="D216" t="s">
        <v>30</v>
      </c>
      <c r="E216" t="s">
        <v>177</v>
      </c>
      <c r="F216" t="s">
        <v>155</v>
      </c>
      <c r="G216" t="s">
        <v>156</v>
      </c>
      <c r="H216" s="4">
        <v>3700</v>
      </c>
    </row>
    <row r="217" spans="1:9">
      <c r="A217" t="s">
        <v>370</v>
      </c>
      <c r="B217" t="s">
        <v>370</v>
      </c>
      <c r="C217" s="8">
        <v>45943</v>
      </c>
      <c r="D217" t="s">
        <v>30</v>
      </c>
      <c r="E217" t="s">
        <v>181</v>
      </c>
      <c r="F217" t="s">
        <v>155</v>
      </c>
      <c r="G217" t="s">
        <v>156</v>
      </c>
      <c r="H217" s="4">
        <v>1200</v>
      </c>
    </row>
    <row r="218" spans="1:9">
      <c r="A218" t="s">
        <v>371</v>
      </c>
      <c r="B218" t="s">
        <v>371</v>
      </c>
      <c r="C218" s="8">
        <v>45943</v>
      </c>
      <c r="D218" t="s">
        <v>27</v>
      </c>
      <c r="E218" t="s">
        <v>161</v>
      </c>
      <c r="F218" t="s">
        <v>155</v>
      </c>
      <c r="G218" t="s">
        <v>156</v>
      </c>
      <c r="H218" s="4">
        <v>1876.65</v>
      </c>
    </row>
    <row r="219" spans="1:9">
      <c r="A219" t="s">
        <v>372</v>
      </c>
      <c r="B219" t="s">
        <v>372</v>
      </c>
      <c r="C219" s="8">
        <v>45944</v>
      </c>
      <c r="D219" t="s">
        <v>30</v>
      </c>
      <c r="E219" t="s">
        <v>183</v>
      </c>
      <c r="F219" t="s">
        <v>155</v>
      </c>
      <c r="G219" t="s">
        <v>156</v>
      </c>
      <c r="H219" s="4">
        <v>900</v>
      </c>
    </row>
    <row r="220" spans="1:9">
      <c r="A220" t="s">
        <v>115</v>
      </c>
      <c r="B220" t="s">
        <v>115</v>
      </c>
      <c r="C220" s="8">
        <v>45945</v>
      </c>
      <c r="D220" t="s">
        <v>184</v>
      </c>
      <c r="E220" t="s">
        <v>101</v>
      </c>
      <c r="F220" t="s">
        <v>155</v>
      </c>
      <c r="G220" t="s">
        <v>185</v>
      </c>
      <c r="H220" s="4">
        <v>20000</v>
      </c>
    </row>
    <row r="221" spans="1:9">
      <c r="A221" t="s">
        <v>373</v>
      </c>
      <c r="B221" t="s">
        <v>373</v>
      </c>
      <c r="C221" s="8">
        <v>45946</v>
      </c>
      <c r="D221" t="s">
        <v>27</v>
      </c>
      <c r="E221" t="s">
        <v>221</v>
      </c>
      <c r="F221" t="s">
        <v>155</v>
      </c>
      <c r="G221" t="s">
        <v>156</v>
      </c>
      <c r="H221" s="4">
        <v>1515.46</v>
      </c>
    </row>
    <row r="222" spans="1:9">
      <c r="A222" t="s">
        <v>374</v>
      </c>
      <c r="B222" t="s">
        <v>374</v>
      </c>
      <c r="C222" s="8">
        <v>45946</v>
      </c>
      <c r="D222" t="s">
        <v>28</v>
      </c>
      <c r="E222" t="s">
        <v>154</v>
      </c>
      <c r="F222" t="s">
        <v>155</v>
      </c>
      <c r="G222" t="s">
        <v>156</v>
      </c>
      <c r="H222" s="4">
        <v>1896.4</v>
      </c>
    </row>
    <row r="223" spans="1:9">
      <c r="A223" t="s">
        <v>375</v>
      </c>
      <c r="B223" t="s">
        <v>375</v>
      </c>
      <c r="C223" s="8">
        <v>45946</v>
      </c>
      <c r="D223" t="s">
        <v>4</v>
      </c>
      <c r="E223" t="s">
        <v>200</v>
      </c>
      <c r="F223" t="s">
        <v>155</v>
      </c>
      <c r="G223" t="s">
        <v>156</v>
      </c>
      <c r="H223" s="4">
        <v>2359.95</v>
      </c>
    </row>
    <row r="224" spans="1:9">
      <c r="A224" t="s">
        <v>376</v>
      </c>
      <c r="B224" t="s">
        <v>376</v>
      </c>
      <c r="C224" s="8">
        <v>45946</v>
      </c>
      <c r="D224" t="s">
        <v>32</v>
      </c>
      <c r="E224" t="s">
        <v>202</v>
      </c>
      <c r="F224" t="s">
        <v>155</v>
      </c>
      <c r="G224" t="s">
        <v>156</v>
      </c>
      <c r="H224" s="4">
        <v>4540.32</v>
      </c>
    </row>
    <row r="225" spans="1:8">
      <c r="A225" t="s">
        <v>377</v>
      </c>
      <c r="B225" t="s">
        <v>377</v>
      </c>
      <c r="C225" s="8">
        <v>45946</v>
      </c>
      <c r="D225" t="s">
        <v>26</v>
      </c>
      <c r="E225" t="s">
        <v>257</v>
      </c>
      <c r="F225" t="s">
        <v>155</v>
      </c>
      <c r="G225" t="s">
        <v>156</v>
      </c>
      <c r="H225" s="4">
        <v>6338.03</v>
      </c>
    </row>
    <row r="226" spans="1:8">
      <c r="A226" t="s">
        <v>378</v>
      </c>
      <c r="B226" t="s">
        <v>378</v>
      </c>
      <c r="C226" s="8">
        <v>45946</v>
      </c>
      <c r="D226" t="s">
        <v>34</v>
      </c>
      <c r="E226" t="s">
        <v>292</v>
      </c>
      <c r="F226" t="s">
        <v>155</v>
      </c>
      <c r="G226" t="s">
        <v>156</v>
      </c>
      <c r="H226" s="4">
        <v>1973.99</v>
      </c>
    </row>
    <row r="227" spans="1:8">
      <c r="A227" t="s">
        <v>379</v>
      </c>
      <c r="B227" t="s">
        <v>379</v>
      </c>
      <c r="C227" s="8">
        <v>45946</v>
      </c>
      <c r="D227" t="s">
        <v>27</v>
      </c>
      <c r="E227" t="s">
        <v>161</v>
      </c>
      <c r="F227" t="s">
        <v>155</v>
      </c>
      <c r="G227" t="s">
        <v>156</v>
      </c>
      <c r="H227" s="4">
        <v>1139.29</v>
      </c>
    </row>
    <row r="228" spans="1:8">
      <c r="A228" t="s">
        <v>380</v>
      </c>
      <c r="B228" t="s">
        <v>380</v>
      </c>
      <c r="C228" s="8">
        <v>45946</v>
      </c>
      <c r="D228" t="s">
        <v>25</v>
      </c>
      <c r="E228" t="s">
        <v>168</v>
      </c>
      <c r="F228" t="s">
        <v>155</v>
      </c>
      <c r="G228" t="s">
        <v>156</v>
      </c>
      <c r="H228" s="4">
        <v>3511.84</v>
      </c>
    </row>
    <row r="229" spans="1:8">
      <c r="A229" t="s">
        <v>116</v>
      </c>
      <c r="B229" t="s">
        <v>116</v>
      </c>
      <c r="C229" s="8">
        <v>45946</v>
      </c>
      <c r="D229" t="s">
        <v>184</v>
      </c>
      <c r="E229" t="s">
        <v>104</v>
      </c>
      <c r="F229" t="s">
        <v>155</v>
      </c>
      <c r="G229" t="s">
        <v>185</v>
      </c>
      <c r="H229" s="4">
        <v>15000</v>
      </c>
    </row>
    <row r="230" spans="1:8">
      <c r="A230" t="s">
        <v>381</v>
      </c>
      <c r="B230" t="s">
        <v>381</v>
      </c>
      <c r="C230" s="8">
        <v>45946</v>
      </c>
      <c r="D230" t="s">
        <v>33</v>
      </c>
      <c r="E230" t="s">
        <v>382</v>
      </c>
      <c r="F230" t="s">
        <v>155</v>
      </c>
      <c r="G230" t="s">
        <v>156</v>
      </c>
      <c r="H230" s="4">
        <v>3149.44</v>
      </c>
    </row>
    <row r="231" spans="1:8">
      <c r="A231" t="s">
        <v>383</v>
      </c>
      <c r="B231" t="s">
        <v>383</v>
      </c>
      <c r="C231" s="8">
        <v>45949</v>
      </c>
      <c r="D231" t="s">
        <v>25</v>
      </c>
      <c r="E231" t="s">
        <v>163</v>
      </c>
      <c r="F231" t="s">
        <v>155</v>
      </c>
      <c r="G231" t="s">
        <v>156</v>
      </c>
      <c r="H231" s="4">
        <v>6259.71</v>
      </c>
    </row>
    <row r="232" spans="1:8">
      <c r="A232" t="s">
        <v>384</v>
      </c>
      <c r="B232" t="s">
        <v>384</v>
      </c>
      <c r="C232" s="8">
        <v>45949</v>
      </c>
      <c r="D232" t="s">
        <v>26</v>
      </c>
      <c r="E232" t="s">
        <v>211</v>
      </c>
      <c r="F232" t="s">
        <v>155</v>
      </c>
      <c r="G232" t="s">
        <v>156</v>
      </c>
      <c r="H232" s="4">
        <v>5923.95</v>
      </c>
    </row>
    <row r="233" spans="1:8">
      <c r="A233" t="s">
        <v>385</v>
      </c>
      <c r="B233" t="s">
        <v>385</v>
      </c>
      <c r="C233" s="8">
        <v>45949</v>
      </c>
      <c r="D233" t="s">
        <v>27</v>
      </c>
      <c r="E233" t="s">
        <v>204</v>
      </c>
      <c r="F233" t="s">
        <v>155</v>
      </c>
      <c r="G233" t="s">
        <v>156</v>
      </c>
      <c r="H233" s="4">
        <v>2086.03</v>
      </c>
    </row>
    <row r="234" spans="1:8">
      <c r="A234" t="s">
        <v>386</v>
      </c>
      <c r="B234" t="s">
        <v>386</v>
      </c>
      <c r="C234" s="8">
        <v>45949</v>
      </c>
      <c r="D234" t="s">
        <v>28</v>
      </c>
      <c r="E234" t="s">
        <v>194</v>
      </c>
      <c r="F234" t="s">
        <v>155</v>
      </c>
      <c r="G234" t="s">
        <v>156</v>
      </c>
      <c r="H234" s="4">
        <v>1620.46</v>
      </c>
    </row>
    <row r="235" spans="1:8">
      <c r="A235" t="s">
        <v>387</v>
      </c>
      <c r="B235" t="s">
        <v>387</v>
      </c>
      <c r="C235" s="8">
        <v>45949</v>
      </c>
      <c r="D235" t="s">
        <v>28</v>
      </c>
      <c r="E235" t="s">
        <v>231</v>
      </c>
      <c r="F235" t="s">
        <v>155</v>
      </c>
      <c r="G235" t="s">
        <v>156</v>
      </c>
      <c r="H235" s="4">
        <v>1139.88</v>
      </c>
    </row>
    <row r="236" spans="1:8">
      <c r="A236" t="s">
        <v>388</v>
      </c>
      <c r="B236" t="s">
        <v>388</v>
      </c>
      <c r="C236" s="8">
        <v>45952</v>
      </c>
      <c r="D236" t="s">
        <v>169</v>
      </c>
      <c r="E236" t="s">
        <v>190</v>
      </c>
      <c r="F236" t="s">
        <v>155</v>
      </c>
      <c r="G236" t="s">
        <v>170</v>
      </c>
      <c r="H236" s="4">
        <v>8067.04</v>
      </c>
    </row>
    <row r="237" spans="1:8">
      <c r="A237" t="s">
        <v>389</v>
      </c>
      <c r="B237" t="s">
        <v>389</v>
      </c>
      <c r="C237" s="8">
        <v>45952</v>
      </c>
      <c r="D237" t="s">
        <v>27</v>
      </c>
      <c r="E237" t="s">
        <v>179</v>
      </c>
      <c r="F237" t="s">
        <v>155</v>
      </c>
      <c r="G237" t="s">
        <v>156</v>
      </c>
      <c r="H237" s="4">
        <v>1751.12</v>
      </c>
    </row>
    <row r="238" spans="1:8">
      <c r="A238" t="s">
        <v>390</v>
      </c>
      <c r="B238" t="s">
        <v>390</v>
      </c>
      <c r="C238" s="8">
        <v>45952</v>
      </c>
      <c r="D238" t="s">
        <v>25</v>
      </c>
      <c r="E238" t="s">
        <v>214</v>
      </c>
      <c r="F238" t="s">
        <v>155</v>
      </c>
      <c r="G238" t="s">
        <v>156</v>
      </c>
      <c r="H238" s="4">
        <v>4728.83</v>
      </c>
    </row>
    <row r="239" spans="1:8">
      <c r="A239" t="s">
        <v>391</v>
      </c>
      <c r="B239" t="s">
        <v>391</v>
      </c>
      <c r="C239" s="8">
        <v>45955</v>
      </c>
      <c r="D239" t="s">
        <v>25</v>
      </c>
      <c r="E239" t="s">
        <v>163</v>
      </c>
      <c r="F239" t="s">
        <v>155</v>
      </c>
      <c r="G239" t="s">
        <v>156</v>
      </c>
      <c r="H239" s="4">
        <v>5182.85</v>
      </c>
    </row>
    <row r="240" spans="1:8">
      <c r="A240" t="s">
        <v>392</v>
      </c>
      <c r="B240" t="s">
        <v>392</v>
      </c>
      <c r="C240" s="8">
        <v>45955</v>
      </c>
      <c r="D240" t="s">
        <v>28</v>
      </c>
      <c r="E240" t="s">
        <v>154</v>
      </c>
      <c r="F240" t="s">
        <v>155</v>
      </c>
      <c r="G240" t="s">
        <v>156</v>
      </c>
      <c r="H240" s="4">
        <v>1090.38</v>
      </c>
    </row>
    <row r="241" spans="1:8">
      <c r="A241" t="s">
        <v>393</v>
      </c>
      <c r="B241" t="s">
        <v>393</v>
      </c>
      <c r="C241" s="8">
        <v>45963</v>
      </c>
      <c r="D241" t="s">
        <v>1</v>
      </c>
      <c r="E241" t="s">
        <v>158</v>
      </c>
      <c r="F241" t="s">
        <v>159</v>
      </c>
      <c r="G241" t="s">
        <v>159</v>
      </c>
      <c r="H241" s="4">
        <v>224500</v>
      </c>
    </row>
    <row r="242" spans="1:8">
      <c r="A242" t="s">
        <v>394</v>
      </c>
      <c r="B242" t="s">
        <v>394</v>
      </c>
      <c r="C242" s="8">
        <v>45964</v>
      </c>
      <c r="D242" t="s">
        <v>25</v>
      </c>
      <c r="E242" t="s">
        <v>214</v>
      </c>
      <c r="F242" t="s">
        <v>155</v>
      </c>
      <c r="G242" t="s">
        <v>156</v>
      </c>
      <c r="H242" s="4">
        <v>1110.85</v>
      </c>
    </row>
    <row r="243" spans="1:8">
      <c r="A243" t="s">
        <v>144</v>
      </c>
      <c r="B243" t="s">
        <v>144</v>
      </c>
      <c r="C243" s="8">
        <v>45964</v>
      </c>
      <c r="D243" t="s">
        <v>23</v>
      </c>
      <c r="E243" t="s">
        <v>135</v>
      </c>
      <c r="F243" t="s">
        <v>155</v>
      </c>
      <c r="G243" t="s">
        <v>156</v>
      </c>
      <c r="H243" s="4">
        <v>32000</v>
      </c>
    </row>
    <row r="244" spans="1:8">
      <c r="A244" t="s">
        <v>395</v>
      </c>
      <c r="B244" t="s">
        <v>395</v>
      </c>
      <c r="C244" s="8">
        <v>45966</v>
      </c>
      <c r="D244" t="s">
        <v>27</v>
      </c>
      <c r="E244" t="s">
        <v>161</v>
      </c>
      <c r="F244" t="s">
        <v>155</v>
      </c>
      <c r="G244" t="s">
        <v>156</v>
      </c>
      <c r="H244" s="4">
        <v>1902.89</v>
      </c>
    </row>
    <row r="245" spans="1:8">
      <c r="A245" t="s">
        <v>396</v>
      </c>
      <c r="B245" t="s">
        <v>396</v>
      </c>
      <c r="C245" s="8">
        <v>45966</v>
      </c>
      <c r="D245" t="s">
        <v>25</v>
      </c>
      <c r="E245" t="s">
        <v>214</v>
      </c>
      <c r="F245" t="s">
        <v>155</v>
      </c>
      <c r="G245" t="s">
        <v>156</v>
      </c>
      <c r="H245" s="4">
        <v>2317.28</v>
      </c>
    </row>
    <row r="246" spans="1:8">
      <c r="A246" t="s">
        <v>397</v>
      </c>
      <c r="B246" t="s">
        <v>397</v>
      </c>
      <c r="C246" s="8">
        <v>45966</v>
      </c>
      <c r="D246" t="s">
        <v>165</v>
      </c>
      <c r="E246" t="s">
        <v>166</v>
      </c>
      <c r="F246" t="s">
        <v>159</v>
      </c>
      <c r="G246" t="s">
        <v>159</v>
      </c>
      <c r="H246" s="4">
        <v>20500</v>
      </c>
    </row>
    <row r="247" spans="1:8">
      <c r="A247" t="s">
        <v>398</v>
      </c>
      <c r="B247" t="s">
        <v>398</v>
      </c>
      <c r="C247" s="8">
        <v>45967</v>
      </c>
      <c r="D247" t="s">
        <v>28</v>
      </c>
      <c r="E247" t="s">
        <v>154</v>
      </c>
      <c r="F247" t="s">
        <v>155</v>
      </c>
      <c r="G247" t="s">
        <v>156</v>
      </c>
      <c r="H247" s="4">
        <v>1578.37</v>
      </c>
    </row>
    <row r="248" spans="1:8">
      <c r="A248" t="s">
        <v>94</v>
      </c>
      <c r="B248" t="s">
        <v>94</v>
      </c>
      <c r="C248" s="8">
        <v>45968</v>
      </c>
      <c r="D248" t="s">
        <v>169</v>
      </c>
      <c r="E248" t="s">
        <v>86</v>
      </c>
      <c r="F248" t="s">
        <v>155</v>
      </c>
      <c r="G248" t="s">
        <v>170</v>
      </c>
      <c r="H248" s="4">
        <v>28500</v>
      </c>
    </row>
    <row r="249" spans="1:8">
      <c r="A249" t="s">
        <v>399</v>
      </c>
      <c r="B249" t="s">
        <v>399</v>
      </c>
      <c r="C249" s="8">
        <v>45969</v>
      </c>
      <c r="D249" t="s">
        <v>25</v>
      </c>
      <c r="E249" t="s">
        <v>168</v>
      </c>
      <c r="F249" t="s">
        <v>155</v>
      </c>
      <c r="G249" t="s">
        <v>156</v>
      </c>
      <c r="H249" s="4">
        <v>5135.81</v>
      </c>
    </row>
    <row r="250" spans="1:8">
      <c r="A250" t="s">
        <v>400</v>
      </c>
      <c r="B250" t="s">
        <v>400</v>
      </c>
      <c r="C250" s="8">
        <v>45969</v>
      </c>
      <c r="D250" t="s">
        <v>169</v>
      </c>
      <c r="E250" t="s">
        <v>172</v>
      </c>
      <c r="F250" t="s">
        <v>155</v>
      </c>
      <c r="G250" t="s">
        <v>170</v>
      </c>
      <c r="H250" s="4">
        <v>11200</v>
      </c>
    </row>
    <row r="251" spans="1:8">
      <c r="A251" t="s">
        <v>401</v>
      </c>
      <c r="B251" t="s">
        <v>401</v>
      </c>
      <c r="C251" s="8">
        <v>45970</v>
      </c>
      <c r="D251" t="s">
        <v>28</v>
      </c>
      <c r="E251" t="s">
        <v>194</v>
      </c>
      <c r="F251" t="s">
        <v>155</v>
      </c>
      <c r="G251" t="s">
        <v>156</v>
      </c>
      <c r="H251" s="4">
        <v>1299.31</v>
      </c>
    </row>
    <row r="252" spans="1:8">
      <c r="A252" t="s">
        <v>73</v>
      </c>
      <c r="B252" t="s">
        <v>73</v>
      </c>
      <c r="C252" s="8">
        <v>45971</v>
      </c>
      <c r="D252" t="s">
        <v>31</v>
      </c>
      <c r="E252" t="s">
        <v>65</v>
      </c>
      <c r="F252" t="s">
        <v>155</v>
      </c>
      <c r="G252" t="s">
        <v>156</v>
      </c>
      <c r="H252" s="4">
        <v>5500</v>
      </c>
    </row>
    <row r="253" spans="1:8">
      <c r="A253" t="s">
        <v>402</v>
      </c>
      <c r="B253" t="s">
        <v>402</v>
      </c>
      <c r="C253" s="8">
        <v>45972</v>
      </c>
      <c r="D253" t="s">
        <v>25</v>
      </c>
      <c r="E253" t="s">
        <v>168</v>
      </c>
      <c r="F253" t="s">
        <v>155</v>
      </c>
      <c r="G253" t="s">
        <v>156</v>
      </c>
      <c r="H253" s="4">
        <v>5786.53</v>
      </c>
    </row>
    <row r="254" spans="1:8">
      <c r="A254" t="s">
        <v>403</v>
      </c>
      <c r="B254" t="s">
        <v>403</v>
      </c>
      <c r="C254" s="8">
        <v>45973</v>
      </c>
      <c r="D254" t="s">
        <v>30</v>
      </c>
      <c r="E254" t="s">
        <v>177</v>
      </c>
      <c r="F254" t="s">
        <v>155</v>
      </c>
      <c r="G254" t="s">
        <v>156</v>
      </c>
      <c r="H254" s="4">
        <v>3950</v>
      </c>
    </row>
    <row r="255" spans="1:8">
      <c r="A255" t="s">
        <v>404</v>
      </c>
      <c r="B255" t="s">
        <v>404</v>
      </c>
      <c r="C255" s="8">
        <v>45974</v>
      </c>
      <c r="D255" t="s">
        <v>30</v>
      </c>
      <c r="E255" t="s">
        <v>181</v>
      </c>
      <c r="F255" t="s">
        <v>155</v>
      </c>
      <c r="G255" t="s">
        <v>156</v>
      </c>
      <c r="H255" s="4">
        <v>1200</v>
      </c>
    </row>
    <row r="256" spans="1:8">
      <c r="A256" t="s">
        <v>405</v>
      </c>
      <c r="B256" t="s">
        <v>405</v>
      </c>
      <c r="C256" s="8">
        <v>45975</v>
      </c>
      <c r="D256" t="s">
        <v>30</v>
      </c>
      <c r="E256" t="s">
        <v>183</v>
      </c>
      <c r="F256" t="s">
        <v>155</v>
      </c>
      <c r="G256" t="s">
        <v>156</v>
      </c>
      <c r="H256" s="4">
        <v>900</v>
      </c>
    </row>
    <row r="257" spans="1:8">
      <c r="A257" t="s">
        <v>117</v>
      </c>
      <c r="B257" t="s">
        <v>117</v>
      </c>
      <c r="C257" s="8">
        <v>45976</v>
      </c>
      <c r="D257" t="s">
        <v>184</v>
      </c>
      <c r="E257" t="s">
        <v>101</v>
      </c>
      <c r="F257" t="s">
        <v>155</v>
      </c>
      <c r="G257" t="s">
        <v>185</v>
      </c>
      <c r="H257" s="4">
        <v>20000</v>
      </c>
    </row>
    <row r="258" spans="1:8">
      <c r="A258" t="s">
        <v>118</v>
      </c>
      <c r="B258" t="s">
        <v>118</v>
      </c>
      <c r="C258" s="8">
        <v>45977</v>
      </c>
      <c r="D258" t="s">
        <v>184</v>
      </c>
      <c r="E258" t="s">
        <v>104</v>
      </c>
      <c r="F258" t="s">
        <v>155</v>
      </c>
      <c r="G258" t="s">
        <v>185</v>
      </c>
      <c r="H258" s="4">
        <v>10000</v>
      </c>
    </row>
    <row r="259" spans="1:8">
      <c r="A259" t="s">
        <v>406</v>
      </c>
      <c r="B259" t="s">
        <v>406</v>
      </c>
      <c r="C259" s="8">
        <v>45979</v>
      </c>
      <c r="D259" t="s">
        <v>27</v>
      </c>
      <c r="E259" t="s">
        <v>179</v>
      </c>
      <c r="F259" t="s">
        <v>155</v>
      </c>
      <c r="G259" t="s">
        <v>156</v>
      </c>
      <c r="H259" s="4">
        <v>1844.8</v>
      </c>
    </row>
    <row r="260" spans="1:8">
      <c r="A260" t="s">
        <v>407</v>
      </c>
      <c r="B260" t="s">
        <v>407</v>
      </c>
      <c r="C260" s="8">
        <v>45982</v>
      </c>
      <c r="D260" t="s">
        <v>4</v>
      </c>
      <c r="E260" t="s">
        <v>174</v>
      </c>
      <c r="F260" t="s">
        <v>155</v>
      </c>
      <c r="G260" t="s">
        <v>156</v>
      </c>
      <c r="H260" s="4">
        <v>868.39</v>
      </c>
    </row>
    <row r="261" spans="1:8">
      <c r="A261" t="s">
        <v>408</v>
      </c>
      <c r="B261" t="s">
        <v>408</v>
      </c>
      <c r="C261" s="8">
        <v>45983</v>
      </c>
      <c r="D261" t="s">
        <v>169</v>
      </c>
      <c r="E261" t="s">
        <v>190</v>
      </c>
      <c r="F261" t="s">
        <v>155</v>
      </c>
      <c r="G261" t="s">
        <v>170</v>
      </c>
      <c r="H261" s="4">
        <v>5301.31</v>
      </c>
    </row>
    <row r="262" spans="1:8">
      <c r="A262" t="s">
        <v>409</v>
      </c>
      <c r="B262" t="s">
        <v>409</v>
      </c>
      <c r="C262" s="8">
        <v>45984</v>
      </c>
      <c r="D262" t="s">
        <v>27</v>
      </c>
      <c r="E262" t="s">
        <v>179</v>
      </c>
      <c r="F262" t="s">
        <v>155</v>
      </c>
      <c r="G262" t="s">
        <v>156</v>
      </c>
      <c r="H262" s="4">
        <v>787.7</v>
      </c>
    </row>
    <row r="263" spans="1:8">
      <c r="A263" t="s">
        <v>410</v>
      </c>
      <c r="B263" t="s">
        <v>410</v>
      </c>
      <c r="C263" s="8">
        <v>45984</v>
      </c>
      <c r="D263" t="s">
        <v>33</v>
      </c>
      <c r="E263" t="s">
        <v>382</v>
      </c>
      <c r="F263" t="s">
        <v>155</v>
      </c>
      <c r="G263" t="s">
        <v>156</v>
      </c>
      <c r="H263" s="4">
        <v>5654.51</v>
      </c>
    </row>
    <row r="264" spans="1:8">
      <c r="A264" t="s">
        <v>411</v>
      </c>
      <c r="B264" t="s">
        <v>411</v>
      </c>
      <c r="C264" s="8">
        <v>45984</v>
      </c>
      <c r="D264" t="s">
        <v>34</v>
      </c>
      <c r="E264" t="s">
        <v>198</v>
      </c>
      <c r="F264" t="s">
        <v>155</v>
      </c>
      <c r="G264" t="s">
        <v>156</v>
      </c>
      <c r="H264" s="4">
        <v>2416.4</v>
      </c>
    </row>
    <row r="265" spans="1:8">
      <c r="A265" t="s">
        <v>412</v>
      </c>
      <c r="B265" t="s">
        <v>412</v>
      </c>
      <c r="C265" s="8">
        <v>45984</v>
      </c>
      <c r="D265" t="s">
        <v>4</v>
      </c>
      <c r="E265" t="s">
        <v>209</v>
      </c>
      <c r="F265" t="s">
        <v>155</v>
      </c>
      <c r="G265" t="s">
        <v>156</v>
      </c>
      <c r="H265" s="4">
        <v>1245.67</v>
      </c>
    </row>
    <row r="266" spans="1:8">
      <c r="A266" t="s">
        <v>413</v>
      </c>
      <c r="B266" t="s">
        <v>413</v>
      </c>
      <c r="C266" s="8">
        <v>45984</v>
      </c>
      <c r="D266" t="s">
        <v>32</v>
      </c>
      <c r="E266" t="s">
        <v>414</v>
      </c>
      <c r="F266" t="s">
        <v>155</v>
      </c>
      <c r="G266" t="s">
        <v>156</v>
      </c>
      <c r="H266" s="4">
        <v>3964.89</v>
      </c>
    </row>
    <row r="267" spans="1:8">
      <c r="A267" t="s">
        <v>415</v>
      </c>
      <c r="B267" t="s">
        <v>415</v>
      </c>
      <c r="C267" s="8">
        <v>45984</v>
      </c>
      <c r="D267" t="s">
        <v>25</v>
      </c>
      <c r="E267" t="s">
        <v>168</v>
      </c>
      <c r="F267" t="s">
        <v>155</v>
      </c>
      <c r="G267" t="s">
        <v>156</v>
      </c>
      <c r="H267" s="4">
        <v>5067.98</v>
      </c>
    </row>
    <row r="268" spans="1:8">
      <c r="A268" t="s">
        <v>416</v>
      </c>
      <c r="B268" t="s">
        <v>416</v>
      </c>
      <c r="C268" s="8">
        <v>45984</v>
      </c>
      <c r="D268" t="s">
        <v>28</v>
      </c>
      <c r="E268" t="s">
        <v>154</v>
      </c>
      <c r="F268" t="s">
        <v>155</v>
      </c>
      <c r="G268" t="s">
        <v>156</v>
      </c>
      <c r="H268" s="4">
        <v>1944.83</v>
      </c>
    </row>
    <row r="269" spans="1:8">
      <c r="A269" t="s">
        <v>417</v>
      </c>
      <c r="B269" t="s">
        <v>417</v>
      </c>
      <c r="C269" s="8">
        <v>45984</v>
      </c>
      <c r="D269" t="s">
        <v>26</v>
      </c>
      <c r="E269" t="s">
        <v>206</v>
      </c>
      <c r="F269" t="s">
        <v>155</v>
      </c>
      <c r="G269" t="s">
        <v>156</v>
      </c>
      <c r="H269" s="4">
        <v>5854.99</v>
      </c>
    </row>
    <row r="270" spans="1:8">
      <c r="A270" t="s">
        <v>418</v>
      </c>
      <c r="B270" t="s">
        <v>418</v>
      </c>
      <c r="C270" s="8">
        <v>45985</v>
      </c>
      <c r="D270" t="s">
        <v>25</v>
      </c>
      <c r="E270" t="s">
        <v>168</v>
      </c>
      <c r="F270" t="s">
        <v>155</v>
      </c>
      <c r="G270" t="s">
        <v>156</v>
      </c>
      <c r="H270" s="4">
        <v>807.41</v>
      </c>
    </row>
    <row r="271" spans="1:8">
      <c r="A271" t="s">
        <v>419</v>
      </c>
      <c r="B271" t="s">
        <v>419</v>
      </c>
      <c r="C271" s="8">
        <v>45987</v>
      </c>
      <c r="D271" t="s">
        <v>26</v>
      </c>
      <c r="E271" t="s">
        <v>206</v>
      </c>
      <c r="F271" t="s">
        <v>155</v>
      </c>
      <c r="G271" t="s">
        <v>156</v>
      </c>
      <c r="H271" s="4">
        <v>6691.87</v>
      </c>
    </row>
    <row r="272" spans="1:8">
      <c r="A272" t="s">
        <v>420</v>
      </c>
      <c r="B272" t="s">
        <v>420</v>
      </c>
      <c r="C272" s="8">
        <v>45987</v>
      </c>
      <c r="D272" t="s">
        <v>28</v>
      </c>
      <c r="E272" t="s">
        <v>194</v>
      </c>
      <c r="F272" t="s">
        <v>155</v>
      </c>
      <c r="G272" t="s">
        <v>156</v>
      </c>
      <c r="H272" s="4">
        <v>2661.35</v>
      </c>
    </row>
    <row r="273" spans="1:8">
      <c r="A273" t="s">
        <v>421</v>
      </c>
      <c r="B273" t="s">
        <v>421</v>
      </c>
      <c r="C273" s="8">
        <v>45987</v>
      </c>
      <c r="D273" t="s">
        <v>27</v>
      </c>
      <c r="E273" t="s">
        <v>179</v>
      </c>
      <c r="F273" t="s">
        <v>155</v>
      </c>
      <c r="G273" t="s">
        <v>156</v>
      </c>
      <c r="H273" s="4">
        <v>3270.43</v>
      </c>
    </row>
    <row r="274" spans="1:8">
      <c r="A274" t="s">
        <v>422</v>
      </c>
      <c r="B274" t="s">
        <v>422</v>
      </c>
      <c r="C274" s="8">
        <v>45987</v>
      </c>
      <c r="D274" t="s">
        <v>25</v>
      </c>
      <c r="E274" t="s">
        <v>214</v>
      </c>
      <c r="F274" t="s">
        <v>155</v>
      </c>
      <c r="G274" t="s">
        <v>156</v>
      </c>
      <c r="H274" s="4">
        <v>4370.42</v>
      </c>
    </row>
    <row r="275" spans="1:8">
      <c r="A275" t="s">
        <v>423</v>
      </c>
      <c r="B275" t="s">
        <v>423</v>
      </c>
      <c r="C275" s="8">
        <v>45993</v>
      </c>
      <c r="D275" t="s">
        <v>27</v>
      </c>
      <c r="E275" t="s">
        <v>204</v>
      </c>
      <c r="F275" t="s">
        <v>155</v>
      </c>
      <c r="G275" t="s">
        <v>156</v>
      </c>
      <c r="H275" s="4">
        <v>1132.42</v>
      </c>
    </row>
    <row r="276" spans="1:8">
      <c r="A276" t="s">
        <v>424</v>
      </c>
      <c r="B276" t="s">
        <v>424</v>
      </c>
      <c r="C276" s="8">
        <v>45993</v>
      </c>
      <c r="D276" t="s">
        <v>1</v>
      </c>
      <c r="E276" t="s">
        <v>158</v>
      </c>
      <c r="F276" t="s">
        <v>159</v>
      </c>
      <c r="G276" t="s">
        <v>159</v>
      </c>
      <c r="H276" s="4">
        <v>226000</v>
      </c>
    </row>
    <row r="277" spans="1:8">
      <c r="A277" t="s">
        <v>145</v>
      </c>
      <c r="B277" t="s">
        <v>145</v>
      </c>
      <c r="C277" s="8">
        <v>45994</v>
      </c>
      <c r="D277" t="s">
        <v>23</v>
      </c>
      <c r="E277" t="s">
        <v>135</v>
      </c>
      <c r="F277" t="s">
        <v>155</v>
      </c>
      <c r="G277" t="s">
        <v>156</v>
      </c>
      <c r="H277" s="4">
        <v>32000</v>
      </c>
    </row>
    <row r="278" spans="1:8">
      <c r="A278" t="s">
        <v>425</v>
      </c>
      <c r="B278" t="s">
        <v>425</v>
      </c>
      <c r="C278" s="8">
        <v>45996</v>
      </c>
      <c r="D278" t="s">
        <v>165</v>
      </c>
      <c r="E278" t="s">
        <v>166</v>
      </c>
      <c r="F278" t="s">
        <v>159</v>
      </c>
      <c r="G278" t="s">
        <v>159</v>
      </c>
      <c r="H278" s="4">
        <v>23000</v>
      </c>
    </row>
    <row r="279" spans="1:8">
      <c r="A279" t="s">
        <v>426</v>
      </c>
      <c r="B279" t="s">
        <v>426</v>
      </c>
      <c r="C279" s="8">
        <v>45997</v>
      </c>
      <c r="D279" t="s">
        <v>26</v>
      </c>
      <c r="E279" t="s">
        <v>211</v>
      </c>
      <c r="F279" t="s">
        <v>155</v>
      </c>
      <c r="G279" t="s">
        <v>156</v>
      </c>
      <c r="H279" s="4">
        <v>7946.98</v>
      </c>
    </row>
    <row r="280" spans="1:8">
      <c r="A280" t="s">
        <v>427</v>
      </c>
      <c r="B280" t="s">
        <v>427</v>
      </c>
      <c r="C280" s="8">
        <v>45997</v>
      </c>
      <c r="D280" t="s">
        <v>28</v>
      </c>
      <c r="E280" t="s">
        <v>231</v>
      </c>
      <c r="F280" t="s">
        <v>155</v>
      </c>
      <c r="G280" t="s">
        <v>156</v>
      </c>
      <c r="H280" s="4">
        <v>2256</v>
      </c>
    </row>
    <row r="281" spans="1:8">
      <c r="A281" t="s">
        <v>428</v>
      </c>
      <c r="B281" t="s">
        <v>428</v>
      </c>
      <c r="C281" s="8">
        <v>45997</v>
      </c>
      <c r="D281" t="s">
        <v>33</v>
      </c>
      <c r="E281" t="s">
        <v>382</v>
      </c>
      <c r="F281" t="s">
        <v>155</v>
      </c>
      <c r="G281" t="s">
        <v>156</v>
      </c>
      <c r="H281" s="4">
        <v>4887.47</v>
      </c>
    </row>
    <row r="282" spans="1:8">
      <c r="A282" t="s">
        <v>429</v>
      </c>
      <c r="B282" t="s">
        <v>429</v>
      </c>
      <c r="C282" s="8">
        <v>45997</v>
      </c>
      <c r="D282" t="s">
        <v>34</v>
      </c>
      <c r="E282" t="s">
        <v>198</v>
      </c>
      <c r="F282" t="s">
        <v>155</v>
      </c>
      <c r="G282" t="s">
        <v>156</v>
      </c>
      <c r="H282" s="4">
        <v>1359.54</v>
      </c>
    </row>
    <row r="283" spans="1:8">
      <c r="A283" t="s">
        <v>430</v>
      </c>
      <c r="B283" t="s">
        <v>430</v>
      </c>
      <c r="C283" s="8">
        <v>45997</v>
      </c>
      <c r="D283" t="s">
        <v>4</v>
      </c>
      <c r="E283" t="s">
        <v>200</v>
      </c>
      <c r="F283" t="s">
        <v>155</v>
      </c>
      <c r="G283" t="s">
        <v>156</v>
      </c>
      <c r="H283" s="4">
        <v>4357.15</v>
      </c>
    </row>
    <row r="284" spans="1:8">
      <c r="A284" t="s">
        <v>431</v>
      </c>
      <c r="B284" t="s">
        <v>431</v>
      </c>
      <c r="C284" s="8">
        <v>45997</v>
      </c>
      <c r="D284" t="s">
        <v>25</v>
      </c>
      <c r="E284" t="s">
        <v>168</v>
      </c>
      <c r="F284" t="s">
        <v>155</v>
      </c>
      <c r="G284" t="s">
        <v>156</v>
      </c>
      <c r="H284" s="4">
        <v>6539.96</v>
      </c>
    </row>
    <row r="285" spans="1:8">
      <c r="A285" t="s">
        <v>133</v>
      </c>
      <c r="B285" t="s">
        <v>133</v>
      </c>
      <c r="C285" s="8">
        <v>45997</v>
      </c>
      <c r="D285" t="s">
        <v>32</v>
      </c>
      <c r="E285" t="s">
        <v>129</v>
      </c>
      <c r="F285" t="s">
        <v>155</v>
      </c>
      <c r="G285" t="s">
        <v>156</v>
      </c>
      <c r="H285" s="4">
        <v>2271.27</v>
      </c>
    </row>
    <row r="286" spans="1:8">
      <c r="A286" t="s">
        <v>95</v>
      </c>
      <c r="B286" t="s">
        <v>95</v>
      </c>
      <c r="C286" s="8">
        <v>45998</v>
      </c>
      <c r="D286" t="s">
        <v>169</v>
      </c>
      <c r="E286" t="s">
        <v>86</v>
      </c>
      <c r="F286" t="s">
        <v>155</v>
      </c>
      <c r="G286" t="s">
        <v>170</v>
      </c>
      <c r="H286" s="4">
        <v>28500</v>
      </c>
    </row>
    <row r="287" spans="1:8">
      <c r="A287" t="s">
        <v>432</v>
      </c>
      <c r="B287" t="s">
        <v>432</v>
      </c>
      <c r="C287" s="8">
        <v>45999</v>
      </c>
      <c r="D287" t="s">
        <v>4</v>
      </c>
      <c r="E287" t="s">
        <v>200</v>
      </c>
      <c r="F287" t="s">
        <v>155</v>
      </c>
      <c r="G287" t="s">
        <v>156</v>
      </c>
      <c r="H287" s="4">
        <v>2111.83</v>
      </c>
    </row>
    <row r="288" spans="1:8">
      <c r="A288" t="s">
        <v>433</v>
      </c>
      <c r="B288" t="s">
        <v>433</v>
      </c>
      <c r="C288" s="8">
        <v>45999</v>
      </c>
      <c r="D288" t="s">
        <v>169</v>
      </c>
      <c r="E288" t="s">
        <v>172</v>
      </c>
      <c r="F288" t="s">
        <v>155</v>
      </c>
      <c r="G288" t="s">
        <v>170</v>
      </c>
      <c r="H288" s="4">
        <v>11200</v>
      </c>
    </row>
    <row r="289" spans="1:8">
      <c r="A289" t="s">
        <v>434</v>
      </c>
      <c r="B289" t="s">
        <v>434</v>
      </c>
      <c r="C289" s="8">
        <v>46000</v>
      </c>
      <c r="D289" t="s">
        <v>26</v>
      </c>
      <c r="E289" t="s">
        <v>257</v>
      </c>
      <c r="F289" t="s">
        <v>155</v>
      </c>
      <c r="G289" t="s">
        <v>156</v>
      </c>
      <c r="H289" s="4">
        <v>7416.12</v>
      </c>
    </row>
    <row r="290" spans="1:8">
      <c r="A290" t="s">
        <v>435</v>
      </c>
      <c r="B290" t="s">
        <v>435</v>
      </c>
      <c r="C290" s="8">
        <v>46000</v>
      </c>
      <c r="D290" t="s">
        <v>25</v>
      </c>
      <c r="E290" t="s">
        <v>163</v>
      </c>
      <c r="F290" t="s">
        <v>155</v>
      </c>
      <c r="G290" t="s">
        <v>156</v>
      </c>
      <c r="H290" s="4">
        <v>4221.55</v>
      </c>
    </row>
    <row r="291" spans="1:8">
      <c r="A291" t="s">
        <v>436</v>
      </c>
      <c r="B291" t="s">
        <v>436</v>
      </c>
      <c r="C291" s="8">
        <v>46000</v>
      </c>
      <c r="D291" t="s">
        <v>28</v>
      </c>
      <c r="E291" t="s">
        <v>194</v>
      </c>
      <c r="F291" t="s">
        <v>155</v>
      </c>
      <c r="G291" t="s">
        <v>156</v>
      </c>
      <c r="H291" s="4">
        <v>1649.31</v>
      </c>
    </row>
    <row r="292" spans="1:8">
      <c r="A292" t="s">
        <v>437</v>
      </c>
      <c r="B292" t="s">
        <v>437</v>
      </c>
      <c r="C292" s="8">
        <v>46000</v>
      </c>
      <c r="D292" t="s">
        <v>27</v>
      </c>
      <c r="E292" t="s">
        <v>221</v>
      </c>
      <c r="F292" t="s">
        <v>155</v>
      </c>
      <c r="G292" t="s">
        <v>156</v>
      </c>
      <c r="H292" s="4">
        <v>3149.03</v>
      </c>
    </row>
    <row r="293" spans="1:8">
      <c r="A293" t="s">
        <v>74</v>
      </c>
      <c r="B293" t="s">
        <v>74</v>
      </c>
      <c r="C293" s="8">
        <v>46001</v>
      </c>
      <c r="D293" t="s">
        <v>31</v>
      </c>
      <c r="E293" t="s">
        <v>65</v>
      </c>
      <c r="F293" t="s">
        <v>155</v>
      </c>
      <c r="G293" t="s">
        <v>156</v>
      </c>
      <c r="H293" s="4">
        <v>5500</v>
      </c>
    </row>
    <row r="294" spans="1:8">
      <c r="A294" t="s">
        <v>438</v>
      </c>
      <c r="B294" t="s">
        <v>438</v>
      </c>
      <c r="C294" s="8">
        <v>46002</v>
      </c>
      <c r="D294" t="s">
        <v>4</v>
      </c>
      <c r="E294" t="s">
        <v>174</v>
      </c>
      <c r="F294" t="s">
        <v>155</v>
      </c>
      <c r="G294" t="s">
        <v>156</v>
      </c>
      <c r="H294" s="4">
        <v>1023.95</v>
      </c>
    </row>
    <row r="295" spans="1:8">
      <c r="A295" t="s">
        <v>439</v>
      </c>
      <c r="B295" t="s">
        <v>439</v>
      </c>
      <c r="C295" s="8">
        <v>46003</v>
      </c>
      <c r="D295" t="s">
        <v>27</v>
      </c>
      <c r="E295" t="s">
        <v>221</v>
      </c>
      <c r="F295" t="s">
        <v>155</v>
      </c>
      <c r="G295" t="s">
        <v>156</v>
      </c>
      <c r="H295" s="4">
        <v>1952.94</v>
      </c>
    </row>
    <row r="296" spans="1:8">
      <c r="A296" t="s">
        <v>440</v>
      </c>
      <c r="B296" t="s">
        <v>440</v>
      </c>
      <c r="C296" s="8">
        <v>46003</v>
      </c>
      <c r="D296" t="s">
        <v>30</v>
      </c>
      <c r="E296" t="s">
        <v>177</v>
      </c>
      <c r="F296" t="s">
        <v>155</v>
      </c>
      <c r="G296" t="s">
        <v>156</v>
      </c>
      <c r="H296" s="4">
        <v>4200</v>
      </c>
    </row>
    <row r="297" spans="1:8">
      <c r="A297" t="s">
        <v>441</v>
      </c>
      <c r="B297" t="s">
        <v>441</v>
      </c>
      <c r="C297" s="8">
        <v>46003</v>
      </c>
      <c r="D297" t="s">
        <v>25</v>
      </c>
      <c r="E297" t="s">
        <v>225</v>
      </c>
      <c r="F297" t="s">
        <v>155</v>
      </c>
      <c r="G297" t="s">
        <v>156</v>
      </c>
      <c r="H297" s="4">
        <v>5283.25</v>
      </c>
    </row>
    <row r="298" spans="1:8">
      <c r="A298" t="s">
        <v>442</v>
      </c>
      <c r="B298" t="s">
        <v>442</v>
      </c>
      <c r="C298" s="8">
        <v>46004</v>
      </c>
      <c r="D298" t="s">
        <v>30</v>
      </c>
      <c r="E298" t="s">
        <v>181</v>
      </c>
      <c r="F298" t="s">
        <v>155</v>
      </c>
      <c r="G298" t="s">
        <v>156</v>
      </c>
      <c r="H298" s="4">
        <v>1200</v>
      </c>
    </row>
    <row r="299" spans="1:8">
      <c r="A299" t="s">
        <v>443</v>
      </c>
      <c r="B299" t="s">
        <v>443</v>
      </c>
      <c r="C299" s="8">
        <v>46005</v>
      </c>
      <c r="D299" t="s">
        <v>28</v>
      </c>
      <c r="E299" t="s">
        <v>194</v>
      </c>
      <c r="F299" t="s">
        <v>155</v>
      </c>
      <c r="G299" t="s">
        <v>156</v>
      </c>
      <c r="H299" s="4">
        <v>1672.64</v>
      </c>
    </row>
    <row r="300" spans="1:8">
      <c r="A300" t="s">
        <v>444</v>
      </c>
      <c r="B300" t="s">
        <v>444</v>
      </c>
      <c r="C300" s="8">
        <v>46005</v>
      </c>
      <c r="D300" t="s">
        <v>30</v>
      </c>
      <c r="E300" t="s">
        <v>183</v>
      </c>
      <c r="F300" t="s">
        <v>155</v>
      </c>
      <c r="G300" t="s">
        <v>156</v>
      </c>
      <c r="H300" s="4">
        <v>900</v>
      </c>
    </row>
    <row r="301" spans="1:8">
      <c r="A301" t="s">
        <v>119</v>
      </c>
      <c r="B301" t="s">
        <v>119</v>
      </c>
      <c r="C301" s="8">
        <v>46006</v>
      </c>
      <c r="D301" t="s">
        <v>184</v>
      </c>
      <c r="E301" t="s">
        <v>101</v>
      </c>
      <c r="F301" t="s">
        <v>155</v>
      </c>
      <c r="G301" t="s">
        <v>185</v>
      </c>
      <c r="H301" s="4">
        <v>20000</v>
      </c>
    </row>
    <row r="302" spans="1:8">
      <c r="A302" t="s">
        <v>445</v>
      </c>
      <c r="B302" t="s">
        <v>445</v>
      </c>
      <c r="C302" s="8">
        <v>46006</v>
      </c>
      <c r="D302" t="s">
        <v>25</v>
      </c>
      <c r="E302" t="s">
        <v>214</v>
      </c>
      <c r="F302" t="s">
        <v>155</v>
      </c>
      <c r="G302" t="s">
        <v>156</v>
      </c>
      <c r="H302" s="4">
        <v>6703.75</v>
      </c>
    </row>
    <row r="303" spans="1:8">
      <c r="A303" t="s">
        <v>120</v>
      </c>
      <c r="B303" t="s">
        <v>120</v>
      </c>
      <c r="C303" s="8">
        <v>46007</v>
      </c>
      <c r="D303" t="s">
        <v>184</v>
      </c>
      <c r="E303" t="s">
        <v>104</v>
      </c>
      <c r="F303" t="s">
        <v>155</v>
      </c>
      <c r="G303" t="s">
        <v>185</v>
      </c>
      <c r="H303" s="4">
        <v>10000</v>
      </c>
    </row>
    <row r="304" spans="1:8">
      <c r="A304" t="s">
        <v>446</v>
      </c>
      <c r="B304" t="s">
        <v>446</v>
      </c>
      <c r="C304" s="8">
        <v>46009</v>
      </c>
      <c r="D304" t="s">
        <v>25</v>
      </c>
      <c r="E304" t="s">
        <v>225</v>
      </c>
      <c r="F304" t="s">
        <v>155</v>
      </c>
      <c r="G304" t="s">
        <v>156</v>
      </c>
      <c r="H304" s="4">
        <v>5007.03</v>
      </c>
    </row>
    <row r="305" spans="1:8">
      <c r="A305" t="s">
        <v>447</v>
      </c>
      <c r="B305" t="s">
        <v>447</v>
      </c>
      <c r="C305" s="8">
        <v>46011</v>
      </c>
      <c r="D305" t="s">
        <v>29</v>
      </c>
      <c r="E305" t="s">
        <v>188</v>
      </c>
      <c r="F305" t="s">
        <v>155</v>
      </c>
      <c r="G305" t="s">
        <v>156</v>
      </c>
      <c r="H305" s="4">
        <v>23550.28</v>
      </c>
    </row>
    <row r="306" spans="1:8">
      <c r="A306" t="s">
        <v>448</v>
      </c>
      <c r="B306" t="s">
        <v>448</v>
      </c>
      <c r="C306" s="8">
        <v>46013</v>
      </c>
      <c r="D306" t="s">
        <v>169</v>
      </c>
      <c r="E306" t="s">
        <v>190</v>
      </c>
      <c r="F306" t="s">
        <v>155</v>
      </c>
      <c r="G306" t="s">
        <v>170</v>
      </c>
      <c r="H306" s="4">
        <v>9163.700000000001</v>
      </c>
    </row>
    <row r="307" spans="1:8">
      <c r="A307" t="s">
        <v>449</v>
      </c>
      <c r="B307" t="s">
        <v>449</v>
      </c>
      <c r="C307" s="8">
        <v>46014</v>
      </c>
      <c r="D307" t="s">
        <v>27</v>
      </c>
      <c r="E307" t="s">
        <v>204</v>
      </c>
      <c r="F307" t="s">
        <v>155</v>
      </c>
      <c r="G307" t="s">
        <v>156</v>
      </c>
      <c r="H307" s="4">
        <v>1771.3</v>
      </c>
    </row>
    <row r="308" spans="1:8">
      <c r="A308" t="s">
        <v>450</v>
      </c>
      <c r="B308" t="s">
        <v>450</v>
      </c>
      <c r="C308" s="8">
        <v>46017</v>
      </c>
      <c r="D308" t="s">
        <v>28</v>
      </c>
      <c r="E308" t="s">
        <v>231</v>
      </c>
      <c r="F308" t="s">
        <v>155</v>
      </c>
      <c r="G308" t="s">
        <v>156</v>
      </c>
      <c r="H308" s="4">
        <v>775.1900000000001</v>
      </c>
    </row>
    <row r="309" spans="1:8">
      <c r="A309" t="s">
        <v>451</v>
      </c>
      <c r="B309" t="s">
        <v>451</v>
      </c>
      <c r="C309" s="8">
        <v>46023</v>
      </c>
      <c r="D309" t="s">
        <v>25</v>
      </c>
      <c r="E309" t="s">
        <v>214</v>
      </c>
      <c r="F309" t="s">
        <v>155</v>
      </c>
      <c r="G309" t="s">
        <v>156</v>
      </c>
      <c r="H309" s="4">
        <v>1930.97</v>
      </c>
    </row>
    <row r="310" spans="1:8">
      <c r="A310" t="s">
        <v>452</v>
      </c>
      <c r="B310" t="s">
        <v>452</v>
      </c>
      <c r="C310" s="8">
        <v>46024</v>
      </c>
      <c r="D310" t="s">
        <v>1</v>
      </c>
      <c r="E310" t="s">
        <v>158</v>
      </c>
      <c r="F310" t="s">
        <v>159</v>
      </c>
      <c r="G310" t="s">
        <v>159</v>
      </c>
      <c r="H310" s="4">
        <v>227500</v>
      </c>
    </row>
    <row r="311" spans="1:8">
      <c r="A311" t="s">
        <v>146</v>
      </c>
      <c r="B311" t="s">
        <v>146</v>
      </c>
      <c r="C311" s="8">
        <v>46025</v>
      </c>
      <c r="D311" t="s">
        <v>23</v>
      </c>
      <c r="E311" t="s">
        <v>135</v>
      </c>
      <c r="F311" t="s">
        <v>155</v>
      </c>
      <c r="G311" t="s">
        <v>156</v>
      </c>
      <c r="H311" s="4">
        <v>32000</v>
      </c>
    </row>
    <row r="312" spans="1:8">
      <c r="A312" t="s">
        <v>453</v>
      </c>
      <c r="B312" t="s">
        <v>453</v>
      </c>
      <c r="C312" s="8">
        <v>46026</v>
      </c>
      <c r="D312" t="s">
        <v>4</v>
      </c>
      <c r="E312" t="s">
        <v>209</v>
      </c>
      <c r="F312" t="s">
        <v>155</v>
      </c>
      <c r="G312" t="s">
        <v>156</v>
      </c>
      <c r="H312" s="4">
        <v>2198.81</v>
      </c>
    </row>
    <row r="313" spans="1:8">
      <c r="A313" t="s">
        <v>454</v>
      </c>
      <c r="B313" t="s">
        <v>454</v>
      </c>
      <c r="C313" s="8">
        <v>46027</v>
      </c>
      <c r="D313" t="s">
        <v>165</v>
      </c>
      <c r="E313" t="s">
        <v>166</v>
      </c>
      <c r="F313" t="s">
        <v>159</v>
      </c>
      <c r="G313" t="s">
        <v>159</v>
      </c>
      <c r="H313" s="4">
        <v>25500</v>
      </c>
    </row>
    <row r="314" spans="1:8">
      <c r="A314" t="s">
        <v>96</v>
      </c>
      <c r="B314" t="s">
        <v>96</v>
      </c>
      <c r="C314" s="8">
        <v>46029</v>
      </c>
      <c r="D314" t="s">
        <v>169</v>
      </c>
      <c r="E314" t="s">
        <v>86</v>
      </c>
      <c r="F314" t="s">
        <v>155</v>
      </c>
      <c r="G314" t="s">
        <v>170</v>
      </c>
      <c r="H314" s="4">
        <v>28500</v>
      </c>
    </row>
    <row r="315" spans="1:8">
      <c r="A315" t="s">
        <v>455</v>
      </c>
      <c r="B315" t="s">
        <v>455</v>
      </c>
      <c r="C315" s="8">
        <v>46029</v>
      </c>
      <c r="D315" t="s">
        <v>28</v>
      </c>
      <c r="E315" t="s">
        <v>194</v>
      </c>
      <c r="F315" t="s">
        <v>155</v>
      </c>
      <c r="G315" t="s">
        <v>156</v>
      </c>
      <c r="H315" s="4">
        <v>354.85</v>
      </c>
    </row>
    <row r="316" spans="1:8">
      <c r="A316" t="s">
        <v>456</v>
      </c>
      <c r="B316" t="s">
        <v>456</v>
      </c>
      <c r="C316" s="8">
        <v>46030</v>
      </c>
      <c r="D316" t="s">
        <v>169</v>
      </c>
      <c r="E316" t="s">
        <v>172</v>
      </c>
      <c r="F316" t="s">
        <v>155</v>
      </c>
      <c r="G316" t="s">
        <v>170</v>
      </c>
      <c r="H316" s="4">
        <v>11200</v>
      </c>
    </row>
    <row r="317" spans="1:8">
      <c r="A317" t="s">
        <v>75</v>
      </c>
      <c r="B317" t="s">
        <v>75</v>
      </c>
      <c r="C317" s="8">
        <v>46032</v>
      </c>
      <c r="D317" t="s">
        <v>31</v>
      </c>
      <c r="E317" t="s">
        <v>65</v>
      </c>
      <c r="F317" t="s">
        <v>155</v>
      </c>
      <c r="G317" t="s">
        <v>156</v>
      </c>
      <c r="H317" s="4">
        <v>5500</v>
      </c>
    </row>
    <row r="318" spans="1:8">
      <c r="A318" t="s">
        <v>457</v>
      </c>
      <c r="B318" t="s">
        <v>457</v>
      </c>
      <c r="C318" s="8">
        <v>46034</v>
      </c>
      <c r="D318" t="s">
        <v>30</v>
      </c>
      <c r="E318" t="s">
        <v>177</v>
      </c>
      <c r="F318" t="s">
        <v>155</v>
      </c>
      <c r="G318" t="s">
        <v>156</v>
      </c>
      <c r="H318" s="4">
        <v>3200</v>
      </c>
    </row>
    <row r="319" spans="1:8">
      <c r="A319" t="s">
        <v>458</v>
      </c>
      <c r="B319" t="s">
        <v>458</v>
      </c>
      <c r="C319" s="8">
        <v>46035</v>
      </c>
      <c r="D319" t="s">
        <v>34</v>
      </c>
      <c r="E319" t="s">
        <v>260</v>
      </c>
      <c r="F319" t="s">
        <v>155</v>
      </c>
      <c r="G319" t="s">
        <v>156</v>
      </c>
      <c r="H319" s="4">
        <v>1900.43</v>
      </c>
    </row>
    <row r="320" spans="1:8">
      <c r="A320" t="s">
        <v>459</v>
      </c>
      <c r="B320" t="s">
        <v>459</v>
      </c>
      <c r="C320" s="8">
        <v>46035</v>
      </c>
      <c r="D320" t="s">
        <v>27</v>
      </c>
      <c r="E320" t="s">
        <v>161</v>
      </c>
      <c r="F320" t="s">
        <v>155</v>
      </c>
      <c r="G320" t="s">
        <v>156</v>
      </c>
      <c r="H320" s="4">
        <v>3140.22</v>
      </c>
    </row>
    <row r="321" spans="1:8">
      <c r="A321" t="s">
        <v>460</v>
      </c>
      <c r="B321" t="s">
        <v>460</v>
      </c>
      <c r="C321" s="8">
        <v>46035</v>
      </c>
      <c r="D321" t="s">
        <v>32</v>
      </c>
      <c r="E321" t="s">
        <v>414</v>
      </c>
      <c r="F321" t="s">
        <v>155</v>
      </c>
      <c r="G321" t="s">
        <v>156</v>
      </c>
      <c r="H321" s="4">
        <v>5626.26</v>
      </c>
    </row>
    <row r="322" spans="1:8">
      <c r="A322" t="s">
        <v>461</v>
      </c>
      <c r="B322" t="s">
        <v>461</v>
      </c>
      <c r="C322" s="8">
        <v>46035</v>
      </c>
      <c r="D322" t="s">
        <v>26</v>
      </c>
      <c r="E322" t="s">
        <v>257</v>
      </c>
      <c r="F322" t="s">
        <v>155</v>
      </c>
      <c r="G322" t="s">
        <v>156</v>
      </c>
      <c r="H322" s="4">
        <v>8307.5</v>
      </c>
    </row>
    <row r="323" spans="1:8">
      <c r="A323" t="s">
        <v>462</v>
      </c>
      <c r="B323" t="s">
        <v>462</v>
      </c>
      <c r="C323" s="8">
        <v>46035</v>
      </c>
      <c r="D323" t="s">
        <v>4</v>
      </c>
      <c r="E323" t="s">
        <v>200</v>
      </c>
      <c r="F323" t="s">
        <v>155</v>
      </c>
      <c r="G323" t="s">
        <v>156</v>
      </c>
      <c r="H323" s="4">
        <v>2038.19</v>
      </c>
    </row>
    <row r="324" spans="1:8">
      <c r="A324" t="s">
        <v>463</v>
      </c>
      <c r="B324" t="s">
        <v>463</v>
      </c>
      <c r="C324" s="8">
        <v>46035</v>
      </c>
      <c r="D324" t="s">
        <v>25</v>
      </c>
      <c r="E324" t="s">
        <v>168</v>
      </c>
      <c r="F324" t="s">
        <v>155</v>
      </c>
      <c r="G324" t="s">
        <v>156</v>
      </c>
      <c r="H324" s="4">
        <v>2322.57</v>
      </c>
    </row>
    <row r="325" spans="1:8">
      <c r="A325" t="s">
        <v>464</v>
      </c>
      <c r="B325" t="s">
        <v>464</v>
      </c>
      <c r="C325" s="8">
        <v>46035</v>
      </c>
      <c r="D325" t="s">
        <v>33</v>
      </c>
      <c r="E325" t="s">
        <v>196</v>
      </c>
      <c r="F325" t="s">
        <v>155</v>
      </c>
      <c r="G325" t="s">
        <v>156</v>
      </c>
      <c r="H325" s="4">
        <v>2317.3</v>
      </c>
    </row>
    <row r="326" spans="1:8">
      <c r="A326" t="s">
        <v>465</v>
      </c>
      <c r="B326" t="s">
        <v>465</v>
      </c>
      <c r="C326" s="8">
        <v>46035</v>
      </c>
      <c r="D326" t="s">
        <v>28</v>
      </c>
      <c r="E326" t="s">
        <v>231</v>
      </c>
      <c r="F326" t="s">
        <v>155</v>
      </c>
      <c r="G326" t="s">
        <v>156</v>
      </c>
      <c r="H326" s="4">
        <v>2513.39</v>
      </c>
    </row>
    <row r="327" spans="1:8">
      <c r="A327" t="s">
        <v>466</v>
      </c>
      <c r="B327" t="s">
        <v>466</v>
      </c>
      <c r="C327" s="8">
        <v>46035</v>
      </c>
      <c r="D327" t="s">
        <v>28</v>
      </c>
      <c r="E327" t="s">
        <v>194</v>
      </c>
      <c r="F327" t="s">
        <v>155</v>
      </c>
      <c r="G327" t="s">
        <v>156</v>
      </c>
      <c r="H327" s="4">
        <v>473.33</v>
      </c>
    </row>
    <row r="328" spans="1:8">
      <c r="A328" t="s">
        <v>467</v>
      </c>
      <c r="B328" t="s">
        <v>467</v>
      </c>
      <c r="C328" s="8">
        <v>46035</v>
      </c>
      <c r="D328" t="s">
        <v>30</v>
      </c>
      <c r="E328" t="s">
        <v>181</v>
      </c>
      <c r="F328" t="s">
        <v>155</v>
      </c>
      <c r="G328" t="s">
        <v>156</v>
      </c>
      <c r="H328" s="4">
        <v>1200</v>
      </c>
    </row>
    <row r="329" spans="1:8">
      <c r="A329" t="s">
        <v>468</v>
      </c>
      <c r="B329" t="s">
        <v>468</v>
      </c>
      <c r="C329" s="8">
        <v>46036</v>
      </c>
      <c r="D329" t="s">
        <v>30</v>
      </c>
      <c r="E329" t="s">
        <v>183</v>
      </c>
      <c r="F329" t="s">
        <v>155</v>
      </c>
      <c r="G329" t="s">
        <v>156</v>
      </c>
      <c r="H329" s="4">
        <v>900</v>
      </c>
    </row>
    <row r="330" spans="1:8">
      <c r="A330" t="s">
        <v>121</v>
      </c>
      <c r="B330" t="s">
        <v>121</v>
      </c>
      <c r="C330" s="8">
        <v>46037</v>
      </c>
      <c r="D330" t="s">
        <v>184</v>
      </c>
      <c r="E330" t="s">
        <v>101</v>
      </c>
      <c r="F330" t="s">
        <v>155</v>
      </c>
      <c r="G330" t="s">
        <v>185</v>
      </c>
      <c r="H330" s="4">
        <v>20000</v>
      </c>
    </row>
    <row r="331" spans="1:8">
      <c r="A331" t="s">
        <v>122</v>
      </c>
      <c r="B331" t="s">
        <v>122</v>
      </c>
      <c r="C331" s="8">
        <v>46038</v>
      </c>
      <c r="D331" t="s">
        <v>184</v>
      </c>
      <c r="E331" t="s">
        <v>104</v>
      </c>
      <c r="F331" t="s">
        <v>155</v>
      </c>
      <c r="G331" t="s">
        <v>185</v>
      </c>
      <c r="H331" s="4">
        <v>15000</v>
      </c>
    </row>
    <row r="332" spans="1:8">
      <c r="A332" t="s">
        <v>469</v>
      </c>
      <c r="B332" t="s">
        <v>469</v>
      </c>
      <c r="C332" s="8">
        <v>46038</v>
      </c>
      <c r="D332" t="s">
        <v>25</v>
      </c>
      <c r="E332" t="s">
        <v>225</v>
      </c>
      <c r="F332" t="s">
        <v>155</v>
      </c>
      <c r="G332" t="s">
        <v>156</v>
      </c>
      <c r="H332" s="4">
        <v>3707.43</v>
      </c>
    </row>
    <row r="333" spans="1:8">
      <c r="A333" t="s">
        <v>470</v>
      </c>
      <c r="B333" t="s">
        <v>470</v>
      </c>
      <c r="C333" s="8">
        <v>46038</v>
      </c>
      <c r="D333" t="s">
        <v>28</v>
      </c>
      <c r="E333" t="s">
        <v>231</v>
      </c>
      <c r="F333" t="s">
        <v>155</v>
      </c>
      <c r="G333" t="s">
        <v>156</v>
      </c>
      <c r="H333" s="4">
        <v>3562.62</v>
      </c>
    </row>
    <row r="334" spans="1:8">
      <c r="A334" t="s">
        <v>471</v>
      </c>
      <c r="B334" t="s">
        <v>471</v>
      </c>
      <c r="C334" s="8">
        <v>46038</v>
      </c>
      <c r="D334" t="s">
        <v>4</v>
      </c>
      <c r="E334" t="s">
        <v>209</v>
      </c>
      <c r="F334" t="s">
        <v>155</v>
      </c>
      <c r="G334" t="s">
        <v>156</v>
      </c>
      <c r="H334" s="4">
        <v>1582.19</v>
      </c>
    </row>
    <row r="335" spans="1:8">
      <c r="A335" t="s">
        <v>472</v>
      </c>
      <c r="B335" t="s">
        <v>472</v>
      </c>
      <c r="C335" s="8">
        <v>46038</v>
      </c>
      <c r="D335" t="s">
        <v>26</v>
      </c>
      <c r="E335" t="s">
        <v>257</v>
      </c>
      <c r="F335" t="s">
        <v>155</v>
      </c>
      <c r="G335" t="s">
        <v>156</v>
      </c>
      <c r="H335" s="4">
        <v>5973.72</v>
      </c>
    </row>
    <row r="336" spans="1:8">
      <c r="A336" t="s">
        <v>473</v>
      </c>
      <c r="B336" t="s">
        <v>473</v>
      </c>
      <c r="C336" s="8">
        <v>46038</v>
      </c>
      <c r="D336" t="s">
        <v>27</v>
      </c>
      <c r="E336" t="s">
        <v>221</v>
      </c>
      <c r="F336" t="s">
        <v>155</v>
      </c>
      <c r="G336" t="s">
        <v>156</v>
      </c>
      <c r="H336" s="4">
        <v>2091.16</v>
      </c>
    </row>
    <row r="337" spans="1:8">
      <c r="A337" t="s">
        <v>474</v>
      </c>
      <c r="B337" t="s">
        <v>474</v>
      </c>
      <c r="C337" s="8">
        <v>46041</v>
      </c>
      <c r="D337" t="s">
        <v>27</v>
      </c>
      <c r="E337" t="s">
        <v>204</v>
      </c>
      <c r="F337" t="s">
        <v>155</v>
      </c>
      <c r="G337" t="s">
        <v>156</v>
      </c>
      <c r="H337" s="4">
        <v>1598.42</v>
      </c>
    </row>
    <row r="338" spans="1:8">
      <c r="A338" t="s">
        <v>475</v>
      </c>
      <c r="B338" t="s">
        <v>475</v>
      </c>
      <c r="C338" s="8">
        <v>46041</v>
      </c>
      <c r="D338" t="s">
        <v>28</v>
      </c>
      <c r="E338" t="s">
        <v>231</v>
      </c>
      <c r="F338" t="s">
        <v>155</v>
      </c>
      <c r="G338" t="s">
        <v>156</v>
      </c>
      <c r="H338" s="4">
        <v>2142.92</v>
      </c>
    </row>
    <row r="339" spans="1:8">
      <c r="A339" t="s">
        <v>476</v>
      </c>
      <c r="B339" t="s">
        <v>476</v>
      </c>
      <c r="C339" s="8">
        <v>46041</v>
      </c>
      <c r="D339" t="s">
        <v>25</v>
      </c>
      <c r="E339" t="s">
        <v>225</v>
      </c>
      <c r="F339" t="s">
        <v>155</v>
      </c>
      <c r="G339" t="s">
        <v>156</v>
      </c>
      <c r="H339" s="4">
        <v>4148.32</v>
      </c>
    </row>
    <row r="340" spans="1:8">
      <c r="A340" t="s">
        <v>477</v>
      </c>
      <c r="B340" t="s">
        <v>477</v>
      </c>
      <c r="C340" s="8">
        <v>46044</v>
      </c>
      <c r="D340" t="s">
        <v>25</v>
      </c>
      <c r="E340" t="s">
        <v>168</v>
      </c>
      <c r="F340" t="s">
        <v>155</v>
      </c>
      <c r="G340" t="s">
        <v>156</v>
      </c>
      <c r="H340" s="4">
        <v>6314.62</v>
      </c>
    </row>
    <row r="341" spans="1:8">
      <c r="A341" t="s">
        <v>478</v>
      </c>
      <c r="B341" t="s">
        <v>478</v>
      </c>
      <c r="C341" s="8">
        <v>46044</v>
      </c>
      <c r="D341" t="s">
        <v>169</v>
      </c>
      <c r="E341" t="s">
        <v>190</v>
      </c>
      <c r="F341" t="s">
        <v>155</v>
      </c>
      <c r="G341" t="s">
        <v>170</v>
      </c>
      <c r="H341" s="4">
        <v>9345.09</v>
      </c>
    </row>
    <row r="342" spans="1:8">
      <c r="A342" t="s">
        <v>479</v>
      </c>
      <c r="B342" t="s">
        <v>479</v>
      </c>
      <c r="C342" s="8">
        <v>46047</v>
      </c>
      <c r="D342" t="s">
        <v>25</v>
      </c>
      <c r="E342" t="s">
        <v>225</v>
      </c>
      <c r="F342" t="s">
        <v>155</v>
      </c>
      <c r="G342" t="s">
        <v>156</v>
      </c>
      <c r="H342" s="4">
        <v>6688.28</v>
      </c>
    </row>
    <row r="343" spans="1:8">
      <c r="A343" t="s">
        <v>480</v>
      </c>
      <c r="B343" t="s">
        <v>480</v>
      </c>
      <c r="C343" s="8">
        <v>46055</v>
      </c>
      <c r="D343" t="s">
        <v>1</v>
      </c>
      <c r="E343" t="s">
        <v>158</v>
      </c>
      <c r="F343" t="s">
        <v>159</v>
      </c>
      <c r="G343" t="s">
        <v>159</v>
      </c>
      <c r="H343" s="4">
        <v>229000</v>
      </c>
    </row>
    <row r="344" spans="1:8">
      <c r="A344" t="s">
        <v>147</v>
      </c>
      <c r="B344" t="s">
        <v>147</v>
      </c>
      <c r="C344" s="8">
        <v>46056</v>
      </c>
      <c r="D344" t="s">
        <v>23</v>
      </c>
      <c r="E344" t="s">
        <v>135</v>
      </c>
      <c r="F344" t="s">
        <v>155</v>
      </c>
      <c r="G344" t="s">
        <v>156</v>
      </c>
      <c r="H344" s="4">
        <v>32000</v>
      </c>
    </row>
    <row r="345" spans="1:8">
      <c r="A345" t="s">
        <v>481</v>
      </c>
      <c r="B345" t="s">
        <v>481</v>
      </c>
      <c r="C345" s="8">
        <v>46058</v>
      </c>
      <c r="D345" t="s">
        <v>25</v>
      </c>
      <c r="E345" t="s">
        <v>225</v>
      </c>
      <c r="F345" t="s">
        <v>155</v>
      </c>
      <c r="G345" t="s">
        <v>156</v>
      </c>
      <c r="H345" s="4">
        <v>2779.08</v>
      </c>
    </row>
    <row r="346" spans="1:8">
      <c r="A346" t="s">
        <v>482</v>
      </c>
      <c r="B346" t="s">
        <v>482</v>
      </c>
      <c r="C346" s="8">
        <v>46058</v>
      </c>
      <c r="D346" t="s">
        <v>165</v>
      </c>
      <c r="E346" t="s">
        <v>166</v>
      </c>
      <c r="F346" t="s">
        <v>159</v>
      </c>
      <c r="G346" t="s">
        <v>159</v>
      </c>
      <c r="H346" s="4">
        <v>18000</v>
      </c>
    </row>
    <row r="347" spans="1:8">
      <c r="A347" t="s">
        <v>483</v>
      </c>
      <c r="B347" t="s">
        <v>483</v>
      </c>
      <c r="C347" s="8">
        <v>46059</v>
      </c>
      <c r="D347" t="s">
        <v>27</v>
      </c>
      <c r="E347" t="s">
        <v>179</v>
      </c>
      <c r="F347" t="s">
        <v>155</v>
      </c>
      <c r="G347" t="s">
        <v>156</v>
      </c>
      <c r="H347" s="4">
        <v>1326.41</v>
      </c>
    </row>
    <row r="348" spans="1:8">
      <c r="A348" t="s">
        <v>97</v>
      </c>
      <c r="B348" t="s">
        <v>97</v>
      </c>
      <c r="C348" s="8">
        <v>46060</v>
      </c>
      <c r="D348" t="s">
        <v>169</v>
      </c>
      <c r="E348" t="s">
        <v>86</v>
      </c>
      <c r="F348" t="s">
        <v>155</v>
      </c>
      <c r="G348" t="s">
        <v>170</v>
      </c>
      <c r="H348" s="4">
        <v>28500</v>
      </c>
    </row>
    <row r="349" spans="1:8">
      <c r="A349" t="s">
        <v>484</v>
      </c>
      <c r="B349" t="s">
        <v>484</v>
      </c>
      <c r="C349" s="8">
        <v>46061</v>
      </c>
      <c r="D349" t="s">
        <v>169</v>
      </c>
      <c r="E349" t="s">
        <v>172</v>
      </c>
      <c r="F349" t="s">
        <v>155</v>
      </c>
      <c r="G349" t="s">
        <v>170</v>
      </c>
      <c r="H349" s="4">
        <v>11200</v>
      </c>
    </row>
    <row r="350" spans="1:8">
      <c r="A350" t="s">
        <v>485</v>
      </c>
      <c r="B350" t="s">
        <v>485</v>
      </c>
      <c r="C350" s="8">
        <v>46061</v>
      </c>
      <c r="D350" t="s">
        <v>25</v>
      </c>
      <c r="E350" t="s">
        <v>225</v>
      </c>
      <c r="F350" t="s">
        <v>155</v>
      </c>
      <c r="G350" t="s">
        <v>156</v>
      </c>
      <c r="H350" s="4">
        <v>3025.7</v>
      </c>
    </row>
    <row r="351" spans="1:8">
      <c r="A351" t="s">
        <v>486</v>
      </c>
      <c r="B351" t="s">
        <v>486</v>
      </c>
      <c r="C351" s="8">
        <v>46062</v>
      </c>
      <c r="D351" t="s">
        <v>28</v>
      </c>
      <c r="E351" t="s">
        <v>194</v>
      </c>
      <c r="F351" t="s">
        <v>155</v>
      </c>
      <c r="G351" t="s">
        <v>156</v>
      </c>
      <c r="H351" s="4">
        <v>750.6900000000001</v>
      </c>
    </row>
    <row r="352" spans="1:8">
      <c r="A352" t="s">
        <v>76</v>
      </c>
      <c r="B352" t="s">
        <v>76</v>
      </c>
      <c r="C352" s="8">
        <v>46063</v>
      </c>
      <c r="D352" t="s">
        <v>31</v>
      </c>
      <c r="E352" t="s">
        <v>65</v>
      </c>
      <c r="F352" t="s">
        <v>155</v>
      </c>
      <c r="G352" t="s">
        <v>156</v>
      </c>
      <c r="H352" s="4">
        <v>5500</v>
      </c>
    </row>
    <row r="353" spans="1:8">
      <c r="A353" t="s">
        <v>487</v>
      </c>
      <c r="B353" t="s">
        <v>487</v>
      </c>
      <c r="C353" s="8">
        <v>46065</v>
      </c>
      <c r="D353" t="s">
        <v>27</v>
      </c>
      <c r="E353" t="s">
        <v>179</v>
      </c>
      <c r="F353" t="s">
        <v>155</v>
      </c>
      <c r="G353" t="s">
        <v>156</v>
      </c>
      <c r="H353" s="4">
        <v>890.4299999999999</v>
      </c>
    </row>
    <row r="354" spans="1:8">
      <c r="A354" t="s">
        <v>488</v>
      </c>
      <c r="B354" t="s">
        <v>488</v>
      </c>
      <c r="C354" s="8">
        <v>46065</v>
      </c>
      <c r="D354" t="s">
        <v>30</v>
      </c>
      <c r="E354" t="s">
        <v>177</v>
      </c>
      <c r="F354" t="s">
        <v>155</v>
      </c>
      <c r="G354" t="s">
        <v>156</v>
      </c>
      <c r="H354" s="4">
        <v>3450</v>
      </c>
    </row>
    <row r="355" spans="1:8">
      <c r="A355" t="s">
        <v>489</v>
      </c>
      <c r="B355" t="s">
        <v>489</v>
      </c>
      <c r="C355" s="8">
        <v>46066</v>
      </c>
      <c r="D355" t="s">
        <v>30</v>
      </c>
      <c r="E355" t="s">
        <v>181</v>
      </c>
      <c r="F355" t="s">
        <v>155</v>
      </c>
      <c r="G355" t="s">
        <v>156</v>
      </c>
      <c r="H355" s="4">
        <v>1200</v>
      </c>
    </row>
    <row r="356" spans="1:8">
      <c r="A356" t="s">
        <v>490</v>
      </c>
      <c r="B356" t="s">
        <v>490</v>
      </c>
      <c r="C356" s="8">
        <v>46067</v>
      </c>
      <c r="D356" t="s">
        <v>30</v>
      </c>
      <c r="E356" t="s">
        <v>183</v>
      </c>
      <c r="F356" t="s">
        <v>155</v>
      </c>
      <c r="G356" t="s">
        <v>156</v>
      </c>
      <c r="H356" s="4">
        <v>900</v>
      </c>
    </row>
    <row r="357" spans="1:8">
      <c r="A357" t="s">
        <v>123</v>
      </c>
      <c r="B357" t="s">
        <v>123</v>
      </c>
      <c r="C357" s="8">
        <v>46068</v>
      </c>
      <c r="D357" t="s">
        <v>184</v>
      </c>
      <c r="E357" t="s">
        <v>101</v>
      </c>
      <c r="F357" t="s">
        <v>155</v>
      </c>
      <c r="G357" t="s">
        <v>185</v>
      </c>
      <c r="H357" s="4">
        <v>20000</v>
      </c>
    </row>
    <row r="358" spans="1:8">
      <c r="A358" t="s">
        <v>124</v>
      </c>
      <c r="B358" t="s">
        <v>124</v>
      </c>
      <c r="C358" s="8">
        <v>46069</v>
      </c>
      <c r="D358" t="s">
        <v>184</v>
      </c>
      <c r="E358" t="s">
        <v>104</v>
      </c>
      <c r="F358" t="s">
        <v>155</v>
      </c>
      <c r="G358" t="s">
        <v>185</v>
      </c>
      <c r="H358" s="4">
        <v>10000</v>
      </c>
    </row>
    <row r="359" spans="1:8">
      <c r="A359" t="s">
        <v>491</v>
      </c>
      <c r="B359" t="s">
        <v>491</v>
      </c>
      <c r="C359" s="8">
        <v>46071</v>
      </c>
      <c r="D359" t="s">
        <v>25</v>
      </c>
      <c r="E359" t="s">
        <v>163</v>
      </c>
      <c r="F359" t="s">
        <v>155</v>
      </c>
      <c r="G359" t="s">
        <v>156</v>
      </c>
      <c r="H359" s="4">
        <v>1120.57</v>
      </c>
    </row>
    <row r="360" spans="1:8">
      <c r="A360" t="s">
        <v>492</v>
      </c>
      <c r="B360" t="s">
        <v>492</v>
      </c>
      <c r="C360" s="8">
        <v>46073</v>
      </c>
      <c r="D360" t="s">
        <v>26</v>
      </c>
      <c r="E360" t="s">
        <v>257</v>
      </c>
      <c r="F360" t="s">
        <v>155</v>
      </c>
      <c r="G360" t="s">
        <v>156</v>
      </c>
      <c r="H360" s="4">
        <v>4177.32</v>
      </c>
    </row>
    <row r="361" spans="1:8">
      <c r="A361" t="s">
        <v>134</v>
      </c>
      <c r="B361" t="s">
        <v>134</v>
      </c>
      <c r="C361" s="8">
        <v>46073</v>
      </c>
      <c r="D361" t="s">
        <v>32</v>
      </c>
      <c r="E361" t="s">
        <v>129</v>
      </c>
      <c r="F361" t="s">
        <v>155</v>
      </c>
      <c r="G361" t="s">
        <v>156</v>
      </c>
      <c r="H361" s="4">
        <v>6581.51</v>
      </c>
    </row>
    <row r="362" spans="1:8">
      <c r="A362" t="s">
        <v>493</v>
      </c>
      <c r="B362" t="s">
        <v>493</v>
      </c>
      <c r="C362" s="8">
        <v>46073</v>
      </c>
      <c r="D362" t="s">
        <v>4</v>
      </c>
      <c r="E362" t="s">
        <v>174</v>
      </c>
      <c r="F362" t="s">
        <v>155</v>
      </c>
      <c r="G362" t="s">
        <v>156</v>
      </c>
      <c r="H362" s="4">
        <v>753.58</v>
      </c>
    </row>
    <row r="363" spans="1:8">
      <c r="A363" t="s">
        <v>494</v>
      </c>
      <c r="B363" t="s">
        <v>494</v>
      </c>
      <c r="C363" s="8">
        <v>46073</v>
      </c>
      <c r="D363" t="s">
        <v>34</v>
      </c>
      <c r="E363" t="s">
        <v>198</v>
      </c>
      <c r="F363" t="s">
        <v>155</v>
      </c>
      <c r="G363" t="s">
        <v>156</v>
      </c>
      <c r="H363" s="4">
        <v>2668.27</v>
      </c>
    </row>
    <row r="364" spans="1:8">
      <c r="A364" t="s">
        <v>495</v>
      </c>
      <c r="B364" t="s">
        <v>495</v>
      </c>
      <c r="C364" s="8">
        <v>46073</v>
      </c>
      <c r="D364" t="s">
        <v>33</v>
      </c>
      <c r="E364" t="s">
        <v>196</v>
      </c>
      <c r="F364" t="s">
        <v>155</v>
      </c>
      <c r="G364" t="s">
        <v>156</v>
      </c>
      <c r="H364" s="4">
        <v>2418.07</v>
      </c>
    </row>
    <row r="365" spans="1:8">
      <c r="A365" t="s">
        <v>496</v>
      </c>
      <c r="B365" t="s">
        <v>496</v>
      </c>
      <c r="C365" s="8">
        <v>46073</v>
      </c>
      <c r="D365" t="s">
        <v>28</v>
      </c>
      <c r="E365" t="s">
        <v>194</v>
      </c>
      <c r="F365" t="s">
        <v>155</v>
      </c>
      <c r="G365" t="s">
        <v>156</v>
      </c>
      <c r="H365" s="4">
        <v>2359.6</v>
      </c>
    </row>
    <row r="366" spans="1:8">
      <c r="A366" t="s">
        <v>497</v>
      </c>
      <c r="B366" t="s">
        <v>497</v>
      </c>
      <c r="C366" s="8">
        <v>46073</v>
      </c>
      <c r="D366" t="s">
        <v>27</v>
      </c>
      <c r="E366" t="s">
        <v>204</v>
      </c>
      <c r="F366" t="s">
        <v>155</v>
      </c>
      <c r="G366" t="s">
        <v>156</v>
      </c>
      <c r="H366" s="4">
        <v>1878.45</v>
      </c>
    </row>
    <row r="367" spans="1:8">
      <c r="A367" t="s">
        <v>498</v>
      </c>
      <c r="B367" t="s">
        <v>498</v>
      </c>
      <c r="C367" s="8">
        <v>46073</v>
      </c>
      <c r="D367" t="s">
        <v>25</v>
      </c>
      <c r="E367" t="s">
        <v>225</v>
      </c>
      <c r="F367" t="s">
        <v>155</v>
      </c>
      <c r="G367" t="s">
        <v>156</v>
      </c>
      <c r="H367" s="4">
        <v>6978.9</v>
      </c>
    </row>
    <row r="368" spans="1:8">
      <c r="A368" t="s">
        <v>471</v>
      </c>
      <c r="B368" t="s">
        <v>499</v>
      </c>
      <c r="C368" s="8">
        <v>46074</v>
      </c>
      <c r="D368" t="s">
        <v>28</v>
      </c>
      <c r="E368" t="s">
        <v>194</v>
      </c>
      <c r="F368" t="s">
        <v>155</v>
      </c>
      <c r="G368" t="s">
        <v>156</v>
      </c>
      <c r="H368" s="4">
        <v>1477.14</v>
      </c>
    </row>
    <row r="369" spans="1:8">
      <c r="A369" t="s">
        <v>500</v>
      </c>
      <c r="B369" t="s">
        <v>500</v>
      </c>
      <c r="C369" s="8">
        <v>46075</v>
      </c>
      <c r="D369" t="s">
        <v>169</v>
      </c>
      <c r="E369" t="s">
        <v>190</v>
      </c>
      <c r="F369" t="s">
        <v>155</v>
      </c>
      <c r="G369" t="s">
        <v>170</v>
      </c>
      <c r="H369" s="4">
        <v>6196.16</v>
      </c>
    </row>
    <row r="370" spans="1:8">
      <c r="A370" t="s">
        <v>501</v>
      </c>
      <c r="B370" t="s">
        <v>501</v>
      </c>
      <c r="C370" s="8">
        <v>46076</v>
      </c>
      <c r="D370" t="s">
        <v>28</v>
      </c>
      <c r="E370" t="s">
        <v>231</v>
      </c>
      <c r="F370" t="s">
        <v>155</v>
      </c>
      <c r="G370" t="s">
        <v>156</v>
      </c>
      <c r="H370" s="4">
        <v>2572.33</v>
      </c>
    </row>
    <row r="371" spans="1:8">
      <c r="A371" t="s">
        <v>502</v>
      </c>
      <c r="B371" t="s">
        <v>502</v>
      </c>
      <c r="C371" s="8">
        <v>46076</v>
      </c>
      <c r="D371" t="s">
        <v>25</v>
      </c>
      <c r="E371" t="s">
        <v>163</v>
      </c>
      <c r="F371" t="s">
        <v>155</v>
      </c>
      <c r="G371" t="s">
        <v>156</v>
      </c>
      <c r="H371" s="4">
        <v>6911.32</v>
      </c>
    </row>
    <row r="372" spans="1:8">
      <c r="A372" t="s">
        <v>503</v>
      </c>
      <c r="B372" t="s">
        <v>503</v>
      </c>
      <c r="C372" s="8">
        <v>46076</v>
      </c>
      <c r="D372" t="s">
        <v>27</v>
      </c>
      <c r="E372" t="s">
        <v>179</v>
      </c>
      <c r="F372" t="s">
        <v>155</v>
      </c>
      <c r="G372" t="s">
        <v>156</v>
      </c>
      <c r="H372" s="4">
        <v>2093.89</v>
      </c>
    </row>
    <row r="373" spans="1:8">
      <c r="A373" t="s">
        <v>504</v>
      </c>
      <c r="B373" t="s">
        <v>504</v>
      </c>
      <c r="C373" s="8">
        <v>46076</v>
      </c>
      <c r="D373" t="s">
        <v>26</v>
      </c>
      <c r="E373" t="s">
        <v>257</v>
      </c>
      <c r="F373" t="s">
        <v>155</v>
      </c>
      <c r="G373" t="s">
        <v>156</v>
      </c>
      <c r="H373" s="4">
        <v>3978.85</v>
      </c>
    </row>
    <row r="374" spans="1:8">
      <c r="A374" t="s">
        <v>505</v>
      </c>
      <c r="B374" t="s">
        <v>505</v>
      </c>
      <c r="C374" s="8">
        <v>46077</v>
      </c>
      <c r="D374" t="s">
        <v>25</v>
      </c>
      <c r="E374" t="s">
        <v>225</v>
      </c>
      <c r="F374" t="s">
        <v>155</v>
      </c>
      <c r="G374" t="s">
        <v>156</v>
      </c>
      <c r="H374" s="4">
        <v>1784.9</v>
      </c>
    </row>
    <row r="375" spans="1:8">
      <c r="A375" t="s">
        <v>506</v>
      </c>
      <c r="B375" t="s">
        <v>506</v>
      </c>
      <c r="C375" s="8">
        <v>46079</v>
      </c>
      <c r="D375" t="s">
        <v>25</v>
      </c>
      <c r="E375" t="s">
        <v>163</v>
      </c>
      <c r="F375" t="s">
        <v>155</v>
      </c>
      <c r="G375" t="s">
        <v>156</v>
      </c>
      <c r="H375" s="4">
        <v>2501.79</v>
      </c>
    </row>
    <row r="376" spans="1:8">
      <c r="A376" t="s">
        <v>507</v>
      </c>
      <c r="B376" t="s">
        <v>507</v>
      </c>
      <c r="C376" s="8">
        <v>46079</v>
      </c>
      <c r="D376" t="s">
        <v>27</v>
      </c>
      <c r="E376" t="s">
        <v>204</v>
      </c>
      <c r="F376" t="s">
        <v>155</v>
      </c>
      <c r="G376" t="s">
        <v>156</v>
      </c>
      <c r="H376" s="4">
        <v>2967.5</v>
      </c>
    </row>
    <row r="377" spans="1:8">
      <c r="A377" t="s">
        <v>508</v>
      </c>
      <c r="B377" t="s">
        <v>508</v>
      </c>
      <c r="C377" s="8">
        <v>46083</v>
      </c>
      <c r="D377" t="s">
        <v>1</v>
      </c>
      <c r="E377" t="s">
        <v>158</v>
      </c>
      <c r="F377" t="s">
        <v>159</v>
      </c>
      <c r="G377" t="s">
        <v>159</v>
      </c>
      <c r="H377" s="4">
        <v>320500</v>
      </c>
    </row>
    <row r="378" spans="1:8">
      <c r="A378" t="s">
        <v>509</v>
      </c>
      <c r="B378" t="s">
        <v>509</v>
      </c>
      <c r="C378" s="8">
        <v>46083</v>
      </c>
      <c r="D378" t="s">
        <v>4</v>
      </c>
      <c r="E378" t="s">
        <v>200</v>
      </c>
      <c r="F378" t="s">
        <v>155</v>
      </c>
      <c r="G378" t="s">
        <v>156</v>
      </c>
      <c r="H378" s="4">
        <v>1484.19</v>
      </c>
    </row>
    <row r="379" spans="1:8">
      <c r="A379" t="s">
        <v>148</v>
      </c>
      <c r="B379" t="s">
        <v>148</v>
      </c>
      <c r="C379" s="8">
        <v>46084</v>
      </c>
      <c r="D379" t="s">
        <v>23</v>
      </c>
      <c r="E379" t="s">
        <v>135</v>
      </c>
      <c r="F379" t="s">
        <v>155</v>
      </c>
      <c r="G379" t="s">
        <v>156</v>
      </c>
      <c r="H379" s="4">
        <v>32000</v>
      </c>
    </row>
    <row r="380" spans="1:8">
      <c r="A380" t="s">
        <v>510</v>
      </c>
      <c r="B380" t="s">
        <v>510</v>
      </c>
      <c r="C380" s="8">
        <v>46086</v>
      </c>
      <c r="D380" t="s">
        <v>165</v>
      </c>
      <c r="E380" t="s">
        <v>166</v>
      </c>
      <c r="F380" t="s">
        <v>159</v>
      </c>
      <c r="G380" t="s">
        <v>159</v>
      </c>
      <c r="H380" s="4">
        <v>20500</v>
      </c>
    </row>
    <row r="381" spans="1:8">
      <c r="A381" t="s">
        <v>511</v>
      </c>
      <c r="B381" t="s">
        <v>511</v>
      </c>
      <c r="C381" s="8">
        <v>46087</v>
      </c>
      <c r="D381" t="s">
        <v>27</v>
      </c>
      <c r="E381" t="s">
        <v>161</v>
      </c>
      <c r="F381" t="s">
        <v>155</v>
      </c>
      <c r="G381" t="s">
        <v>156</v>
      </c>
      <c r="H381" s="4">
        <v>3107.26</v>
      </c>
    </row>
    <row r="382" spans="1:8">
      <c r="A382" t="s">
        <v>512</v>
      </c>
      <c r="B382" t="s">
        <v>512</v>
      </c>
      <c r="C382" s="8">
        <v>46087</v>
      </c>
      <c r="D382" t="s">
        <v>28</v>
      </c>
      <c r="E382" t="s">
        <v>231</v>
      </c>
      <c r="F382" t="s">
        <v>155</v>
      </c>
      <c r="G382" t="s">
        <v>156</v>
      </c>
      <c r="H382" s="4">
        <v>1569.2</v>
      </c>
    </row>
    <row r="383" spans="1:8">
      <c r="A383" t="s">
        <v>513</v>
      </c>
      <c r="B383" t="s">
        <v>513</v>
      </c>
      <c r="C383" s="8">
        <v>46087</v>
      </c>
      <c r="D383" t="s">
        <v>25</v>
      </c>
      <c r="E383" t="s">
        <v>168</v>
      </c>
      <c r="F383" t="s">
        <v>155</v>
      </c>
      <c r="G383" t="s">
        <v>156</v>
      </c>
      <c r="H383" s="4">
        <v>2812.06</v>
      </c>
    </row>
    <row r="384" spans="1:8">
      <c r="A384" t="s">
        <v>514</v>
      </c>
      <c r="B384" t="s">
        <v>514</v>
      </c>
      <c r="C384" s="8">
        <v>46087</v>
      </c>
      <c r="D384" t="s">
        <v>26</v>
      </c>
      <c r="E384" t="s">
        <v>257</v>
      </c>
      <c r="F384" t="s">
        <v>155</v>
      </c>
      <c r="G384" t="s">
        <v>156</v>
      </c>
      <c r="H384" s="4">
        <v>6647.96</v>
      </c>
    </row>
    <row r="385" spans="1:8">
      <c r="A385" t="s">
        <v>98</v>
      </c>
      <c r="B385" t="s">
        <v>98</v>
      </c>
      <c r="C385" s="8">
        <v>46088</v>
      </c>
      <c r="D385" t="s">
        <v>169</v>
      </c>
      <c r="E385" t="s">
        <v>86</v>
      </c>
      <c r="F385" t="s">
        <v>155</v>
      </c>
      <c r="G385" t="s">
        <v>170</v>
      </c>
      <c r="H385" s="4">
        <v>28500</v>
      </c>
    </row>
    <row r="386" spans="1:8">
      <c r="A386" t="s">
        <v>515</v>
      </c>
      <c r="B386" t="s">
        <v>515</v>
      </c>
      <c r="C386" s="8">
        <v>46089</v>
      </c>
      <c r="D386" t="s">
        <v>169</v>
      </c>
      <c r="E386" t="s">
        <v>172</v>
      </c>
      <c r="F386" t="s">
        <v>155</v>
      </c>
      <c r="G386" t="s">
        <v>170</v>
      </c>
      <c r="H386" s="4">
        <v>11200</v>
      </c>
    </row>
    <row r="387" spans="1:8">
      <c r="A387" t="s">
        <v>516</v>
      </c>
      <c r="B387" t="s">
        <v>516</v>
      </c>
      <c r="C387" s="8">
        <v>46090</v>
      </c>
      <c r="D387" t="s">
        <v>27</v>
      </c>
      <c r="E387" t="s">
        <v>179</v>
      </c>
      <c r="F387" t="s">
        <v>155</v>
      </c>
      <c r="G387" t="s">
        <v>156</v>
      </c>
      <c r="H387" s="4">
        <v>3656.37</v>
      </c>
    </row>
    <row r="388" spans="1:8">
      <c r="A388" t="s">
        <v>517</v>
      </c>
      <c r="B388" t="s">
        <v>517</v>
      </c>
      <c r="C388" s="8">
        <v>46090</v>
      </c>
      <c r="D388" t="s">
        <v>25</v>
      </c>
      <c r="E388" t="s">
        <v>163</v>
      </c>
      <c r="F388" t="s">
        <v>155</v>
      </c>
      <c r="G388" t="s">
        <v>156</v>
      </c>
      <c r="H388" s="4">
        <v>5229.52</v>
      </c>
    </row>
    <row r="389" spans="1:8">
      <c r="A389" t="s">
        <v>77</v>
      </c>
      <c r="B389" t="s">
        <v>77</v>
      </c>
      <c r="C389" s="8">
        <v>46091</v>
      </c>
      <c r="D389" t="s">
        <v>31</v>
      </c>
      <c r="E389" t="s">
        <v>65</v>
      </c>
      <c r="F389" t="s">
        <v>155</v>
      </c>
      <c r="G389" t="s">
        <v>156</v>
      </c>
      <c r="H389" s="4">
        <v>5500</v>
      </c>
    </row>
    <row r="390" spans="1:8">
      <c r="A390" t="s">
        <v>518</v>
      </c>
      <c r="B390" t="s">
        <v>518</v>
      </c>
      <c r="C390" s="8">
        <v>46092</v>
      </c>
      <c r="D390" t="s">
        <v>27</v>
      </c>
      <c r="E390" t="s">
        <v>161</v>
      </c>
      <c r="F390" t="s">
        <v>155</v>
      </c>
      <c r="G390" t="s">
        <v>156</v>
      </c>
      <c r="H390" s="4">
        <v>1556.01</v>
      </c>
    </row>
    <row r="391" spans="1:8">
      <c r="A391" t="s">
        <v>519</v>
      </c>
      <c r="B391" t="s">
        <v>519</v>
      </c>
      <c r="C391" s="8">
        <v>46093</v>
      </c>
      <c r="D391" t="s">
        <v>30</v>
      </c>
      <c r="E391" t="s">
        <v>177</v>
      </c>
      <c r="F391" t="s">
        <v>155</v>
      </c>
      <c r="G391" t="s">
        <v>156</v>
      </c>
      <c r="H391" s="4">
        <v>3700</v>
      </c>
    </row>
    <row r="392" spans="1:8">
      <c r="A392" t="s">
        <v>520</v>
      </c>
      <c r="B392" t="s">
        <v>520</v>
      </c>
      <c r="C392" s="8">
        <v>46093</v>
      </c>
      <c r="D392" t="s">
        <v>25</v>
      </c>
      <c r="E392" t="s">
        <v>168</v>
      </c>
      <c r="F392" t="s">
        <v>155</v>
      </c>
      <c r="G392" t="s">
        <v>156</v>
      </c>
      <c r="H392" s="4">
        <v>4683.15</v>
      </c>
    </row>
    <row r="393" spans="1:8">
      <c r="A393" t="s">
        <v>521</v>
      </c>
      <c r="B393" t="s">
        <v>521</v>
      </c>
      <c r="C393" s="8">
        <v>46094</v>
      </c>
      <c r="D393" t="s">
        <v>30</v>
      </c>
      <c r="E393" t="s">
        <v>181</v>
      </c>
      <c r="F393" t="s">
        <v>155</v>
      </c>
      <c r="G393" t="s">
        <v>156</v>
      </c>
      <c r="H393" s="4">
        <v>1200</v>
      </c>
    </row>
    <row r="394" spans="1:8">
      <c r="A394" t="s">
        <v>522</v>
      </c>
      <c r="B394" t="s">
        <v>522</v>
      </c>
      <c r="C394" s="8">
        <v>46095</v>
      </c>
      <c r="D394" t="s">
        <v>4</v>
      </c>
      <c r="E394" t="s">
        <v>174</v>
      </c>
      <c r="F394" t="s">
        <v>155</v>
      </c>
      <c r="G394" t="s">
        <v>156</v>
      </c>
      <c r="H394" s="4">
        <v>862.16</v>
      </c>
    </row>
    <row r="395" spans="1:8">
      <c r="A395" t="s">
        <v>523</v>
      </c>
      <c r="B395" t="s">
        <v>523</v>
      </c>
      <c r="C395" s="8">
        <v>46096</v>
      </c>
      <c r="D395" t="s">
        <v>25</v>
      </c>
      <c r="E395" t="s">
        <v>214</v>
      </c>
      <c r="F395" t="s">
        <v>155</v>
      </c>
      <c r="G395" t="s">
        <v>156</v>
      </c>
      <c r="H395" s="4">
        <v>6350.19</v>
      </c>
    </row>
    <row r="396" spans="1:8">
      <c r="A396" t="s">
        <v>125</v>
      </c>
      <c r="B396" t="s">
        <v>125</v>
      </c>
      <c r="C396" s="8">
        <v>46096</v>
      </c>
      <c r="D396" t="s">
        <v>184</v>
      </c>
      <c r="E396" t="s">
        <v>101</v>
      </c>
      <c r="F396" t="s">
        <v>155</v>
      </c>
      <c r="G396" t="s">
        <v>185</v>
      </c>
      <c r="H396" s="4">
        <v>20000</v>
      </c>
    </row>
    <row r="397" spans="1:8">
      <c r="A397" t="s">
        <v>126</v>
      </c>
      <c r="B397" t="s">
        <v>126</v>
      </c>
      <c r="C397" s="8">
        <v>46097</v>
      </c>
      <c r="D397" t="s">
        <v>184</v>
      </c>
      <c r="E397" t="s">
        <v>104</v>
      </c>
      <c r="F397" t="s">
        <v>155</v>
      </c>
      <c r="G397" t="s">
        <v>185</v>
      </c>
      <c r="H397" s="4">
        <v>10000</v>
      </c>
    </row>
    <row r="398" spans="1:8">
      <c r="A398" t="s">
        <v>524</v>
      </c>
      <c r="B398" t="s">
        <v>524</v>
      </c>
      <c r="C398" s="8">
        <v>46098</v>
      </c>
      <c r="D398" t="s">
        <v>25</v>
      </c>
      <c r="E398" t="s">
        <v>225</v>
      </c>
      <c r="F398" t="s">
        <v>155</v>
      </c>
      <c r="G398" t="s">
        <v>156</v>
      </c>
      <c r="H398" s="4">
        <v>477.1</v>
      </c>
    </row>
    <row r="399" spans="1:8">
      <c r="A399" t="s">
        <v>525</v>
      </c>
      <c r="B399" t="s">
        <v>525</v>
      </c>
      <c r="C399" s="8">
        <v>46103</v>
      </c>
      <c r="D399" t="s">
        <v>169</v>
      </c>
      <c r="E399" t="s">
        <v>190</v>
      </c>
      <c r="F399" t="s">
        <v>155</v>
      </c>
      <c r="G399" t="s">
        <v>170</v>
      </c>
      <c r="H399" s="4">
        <v>5726.33</v>
      </c>
    </row>
    <row r="400" spans="1:8">
      <c r="A400" t="s">
        <v>526</v>
      </c>
      <c r="B400" t="s">
        <v>526</v>
      </c>
      <c r="C400" s="8">
        <v>46104</v>
      </c>
      <c r="D400" t="s">
        <v>4</v>
      </c>
      <c r="E400" t="s">
        <v>209</v>
      </c>
      <c r="F400" t="s">
        <v>155</v>
      </c>
      <c r="G400" t="s">
        <v>156</v>
      </c>
      <c r="H400" s="4">
        <v>1357.1</v>
      </c>
    </row>
    <row r="401" spans="1:8">
      <c r="A401" t="s">
        <v>527</v>
      </c>
      <c r="B401" t="s">
        <v>527</v>
      </c>
      <c r="C401" s="8">
        <v>46107</v>
      </c>
      <c r="D401" t="s">
        <v>4</v>
      </c>
      <c r="E401" t="s">
        <v>174</v>
      </c>
      <c r="F401" t="s">
        <v>155</v>
      </c>
      <c r="G401" t="s">
        <v>156</v>
      </c>
      <c r="H401" s="4">
        <v>720.6</v>
      </c>
    </row>
    <row r="402" spans="1:8">
      <c r="A402" t="s">
        <v>528</v>
      </c>
      <c r="B402" t="s">
        <v>528</v>
      </c>
      <c r="C402" s="8">
        <v>46108</v>
      </c>
      <c r="D402" t="s">
        <v>28</v>
      </c>
      <c r="E402" t="s">
        <v>154</v>
      </c>
      <c r="F402" t="s">
        <v>155</v>
      </c>
      <c r="G402" t="s">
        <v>156</v>
      </c>
      <c r="H402" s="4">
        <v>2198.39</v>
      </c>
    </row>
    <row r="403" spans="1:8">
      <c r="A403" t="s">
        <v>529</v>
      </c>
      <c r="B403" t="s">
        <v>529</v>
      </c>
      <c r="C403" s="8">
        <v>46108</v>
      </c>
      <c r="D403" t="s">
        <v>34</v>
      </c>
      <c r="E403" t="s">
        <v>292</v>
      </c>
      <c r="F403" t="s">
        <v>155</v>
      </c>
      <c r="G403" t="s">
        <v>156</v>
      </c>
      <c r="H403" s="4">
        <v>1421.73</v>
      </c>
    </row>
    <row r="404" spans="1:8">
      <c r="A404" t="s">
        <v>83</v>
      </c>
      <c r="B404" t="s">
        <v>83</v>
      </c>
      <c r="C404" s="8">
        <v>46108</v>
      </c>
      <c r="D404" t="s">
        <v>33</v>
      </c>
      <c r="E404" t="s">
        <v>80</v>
      </c>
      <c r="F404" t="s">
        <v>155</v>
      </c>
      <c r="G404" t="s">
        <v>156</v>
      </c>
      <c r="H404" s="4">
        <v>5232.36</v>
      </c>
    </row>
    <row r="405" spans="1:8">
      <c r="A405" t="s">
        <v>530</v>
      </c>
      <c r="B405" t="s">
        <v>530</v>
      </c>
      <c r="C405" s="8">
        <v>46108</v>
      </c>
      <c r="D405" t="s">
        <v>4</v>
      </c>
      <c r="E405" t="s">
        <v>174</v>
      </c>
      <c r="F405" t="s">
        <v>155</v>
      </c>
      <c r="G405" t="s">
        <v>156</v>
      </c>
      <c r="H405" s="4">
        <v>4218.16</v>
      </c>
    </row>
    <row r="406" spans="1:8">
      <c r="A406" t="s">
        <v>531</v>
      </c>
      <c r="B406" t="s">
        <v>531</v>
      </c>
      <c r="C406" s="8">
        <v>46108</v>
      </c>
      <c r="D406" t="s">
        <v>26</v>
      </c>
      <c r="E406" t="s">
        <v>211</v>
      </c>
      <c r="F406" t="s">
        <v>155</v>
      </c>
      <c r="G406" t="s">
        <v>156</v>
      </c>
      <c r="H406" s="4">
        <v>6670.7</v>
      </c>
    </row>
    <row r="407" spans="1:8">
      <c r="A407" t="s">
        <v>532</v>
      </c>
      <c r="B407" t="s">
        <v>532</v>
      </c>
      <c r="C407" s="8">
        <v>46108</v>
      </c>
      <c r="D407" t="s">
        <v>32</v>
      </c>
      <c r="E407" t="s">
        <v>414</v>
      </c>
      <c r="F407" t="s">
        <v>155</v>
      </c>
      <c r="G407" t="s">
        <v>156</v>
      </c>
      <c r="H407" s="4">
        <v>4937.18</v>
      </c>
    </row>
    <row r="408" spans="1:8">
      <c r="A408" t="s">
        <v>533</v>
      </c>
      <c r="B408" t="s">
        <v>533</v>
      </c>
      <c r="C408" s="8">
        <v>46108</v>
      </c>
      <c r="D408" t="s">
        <v>25</v>
      </c>
      <c r="E408" t="s">
        <v>163</v>
      </c>
      <c r="F408" t="s">
        <v>155</v>
      </c>
      <c r="G408" t="s">
        <v>156</v>
      </c>
      <c r="H408" s="4">
        <v>5546.33</v>
      </c>
    </row>
    <row r="409" spans="1:8">
      <c r="A409" t="s">
        <v>534</v>
      </c>
      <c r="B409" t="s">
        <v>534</v>
      </c>
      <c r="C409" s="8">
        <v>46108</v>
      </c>
      <c r="D409" t="s">
        <v>27</v>
      </c>
      <c r="E409" t="s">
        <v>179</v>
      </c>
      <c r="F409" t="s">
        <v>155</v>
      </c>
      <c r="G409" t="s">
        <v>156</v>
      </c>
      <c r="H409" s="4">
        <v>2602.31</v>
      </c>
    </row>
  </sheetData>
  <autoFilter ref="A1:I40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40.7109375" customWidth="1"/>
    <col min="4" max="4" width="9.7109375" customWidth="1"/>
    <col min="5" max="5" width="46.7109375" customWidth="1"/>
    <col min="6" max="6" width="56.7109375" customWidth="1"/>
    <col min="7" max="7" width="9.7109375" customWidth="1"/>
  </cols>
  <sheetData>
    <row r="1" spans="1:7">
      <c r="A1" s="3" t="s">
        <v>59</v>
      </c>
      <c r="B1" s="3" t="s">
        <v>60</v>
      </c>
      <c r="C1" s="3" t="s">
        <v>535</v>
      </c>
      <c r="D1" s="3" t="s">
        <v>536</v>
      </c>
      <c r="E1" s="3" t="s">
        <v>537</v>
      </c>
      <c r="F1" s="3" t="s">
        <v>538</v>
      </c>
      <c r="G1" s="3" t="s">
        <v>539</v>
      </c>
    </row>
    <row r="2" spans="1:7">
      <c r="A2" t="s">
        <v>446</v>
      </c>
      <c r="B2" s="8">
        <v>46009</v>
      </c>
      <c r="C2" t="s">
        <v>540</v>
      </c>
      <c r="D2" t="s">
        <v>541</v>
      </c>
      <c r="E2" t="s">
        <v>542</v>
      </c>
      <c r="F2" t="s">
        <v>543</v>
      </c>
      <c r="G2" t="s">
        <v>544</v>
      </c>
    </row>
    <row r="3" spans="1:7">
      <c r="A3" t="s">
        <v>471</v>
      </c>
      <c r="B3" s="8">
        <v>46074</v>
      </c>
      <c r="C3" t="s">
        <v>545</v>
      </c>
      <c r="D3" t="s">
        <v>541</v>
      </c>
      <c r="E3" t="s">
        <v>546</v>
      </c>
      <c r="F3" t="s">
        <v>194</v>
      </c>
      <c r="G3" t="s">
        <v>544</v>
      </c>
    </row>
    <row r="4" spans="1:7">
      <c r="A4" t="s">
        <v>233</v>
      </c>
      <c r="B4" s="8">
        <v>45785</v>
      </c>
      <c r="C4" t="s">
        <v>547</v>
      </c>
      <c r="D4" t="s">
        <v>541</v>
      </c>
      <c r="E4" t="s">
        <v>548</v>
      </c>
      <c r="F4" t="s">
        <v>172</v>
      </c>
      <c r="G4" t="s">
        <v>544</v>
      </c>
    </row>
    <row r="5" spans="1:7">
      <c r="A5" t="s">
        <v>367</v>
      </c>
      <c r="B5" s="8">
        <v>45938</v>
      </c>
      <c r="C5" t="s">
        <v>549</v>
      </c>
      <c r="D5" t="s">
        <v>541</v>
      </c>
      <c r="E5" t="s">
        <v>550</v>
      </c>
      <c r="F5" t="s">
        <v>551</v>
      </c>
      <c r="G5" t="s">
        <v>544</v>
      </c>
    </row>
    <row r="6" spans="1:7">
      <c r="A6" t="s">
        <v>552</v>
      </c>
      <c r="B6" s="8">
        <v>46095</v>
      </c>
      <c r="C6" t="s">
        <v>553</v>
      </c>
      <c r="D6" t="s">
        <v>554</v>
      </c>
      <c r="E6" t="s">
        <v>555</v>
      </c>
      <c r="F6" t="s">
        <v>556</v>
      </c>
      <c r="G6" t="s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Income</vt:lpstr>
      <vt:lpstr>Expenses</vt:lpstr>
      <vt:lpstr>Balance sheet</vt:lpstr>
      <vt:lpstr>Review items</vt:lpstr>
      <vt:lpstr>Ledger</vt:lpstr>
      <vt:lpstr>Quality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Tax / CA Review Pack · FY 2025-26</dc:title>
  <dc:creator/>
  <dc:description>Report 2E055FD328</dc:description>
  <cp:lastModifiedBy/>
  <dcterms:created xsi:type="dcterms:W3CDTF">2026-10-05T08:32:45Z</dcterms:created>
  <dcterms:modified xsi:type="dcterms:W3CDTF">2026-10-05T08:32:45Z</dcterms:modified>
</cp:coreProperties>
</file>